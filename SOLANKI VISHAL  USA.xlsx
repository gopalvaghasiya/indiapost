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640" windowHeight="11040" tabRatio="576" activeTab="1"/>
  </bookViews>
  <sheets>
    <sheet name="ArticleDetails" sheetId="1" r:id="rId1"/>
    <sheet name="SubPieces" sheetId="2" r:id="rId2"/>
    <sheet name="Information" sheetId="3" r:id="rId3"/>
  </sheets>
  <definedNames>
    <definedName name="CountryCodes">Information!$O$2:$O$248</definedName>
    <definedName name="CountryName">Information!$N$2:$N$248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/>
  <c r="B4"/>
  <c r="B5"/>
  <c r="B6"/>
  <c r="B7"/>
  <c r="B8"/>
  <c r="B9"/>
  <c r="B10"/>
  <c r="B11"/>
  <c r="B12"/>
  <c r="B13"/>
  <c r="B2"/>
  <c r="D2"/>
</calcChain>
</file>

<file path=xl/sharedStrings.xml><?xml version="1.0" encoding="utf-8"?>
<sst xmlns="http://schemas.openxmlformats.org/spreadsheetml/2006/main" count="650" uniqueCount="626">
  <si>
    <t>AU</t>
  </si>
  <si>
    <t>IN</t>
  </si>
  <si>
    <t>DOP</t>
  </si>
  <si>
    <t>PS</t>
  </si>
  <si>
    <t>ROLL</t>
  </si>
  <si>
    <t>NROL</t>
  </si>
  <si>
    <t>SERIAL NUMBER</t>
  </si>
  <si>
    <t>DESTINATION COUNTRY CODE</t>
  </si>
  <si>
    <t>DESTINATION COUNTRY NAME</t>
  </si>
  <si>
    <t>MAIL NATURE TYPE</t>
  </si>
  <si>
    <t>MAIL TRANSPORT TYPE</t>
  </si>
  <si>
    <t>PHYSICAL WEIGHT</t>
  </si>
  <si>
    <t>DECLARED VALUE</t>
  </si>
  <si>
    <t>NON DELIVERY INSTRUCTIONS</t>
  </si>
  <si>
    <t>SENDER ADD LINE 1</t>
  </si>
  <si>
    <t>SENDER ADD LINE 2</t>
  </si>
  <si>
    <t>SENDER ADD LINE 3</t>
  </si>
  <si>
    <t>SENDER CITY</t>
  </si>
  <si>
    <t>SENDER COUNTRY NAME</t>
  </si>
  <si>
    <t>SENDER COUNTRY CODE</t>
  </si>
  <si>
    <t>SENDER PINCODE</t>
  </si>
  <si>
    <t>SENDER EMAILID</t>
  </si>
  <si>
    <t>SENDER ALT CONTACT</t>
  </si>
  <si>
    <t>SENDER KYC</t>
  </si>
  <si>
    <t>RECEIVER NAME</t>
  </si>
  <si>
    <t>RECEIVER COMPNAY NAME</t>
  </si>
  <si>
    <t>RECEIVER ADD LINE 1</t>
  </si>
  <si>
    <t>RECEIVER ADD LINE 2</t>
  </si>
  <si>
    <t>RECEIVER ADD LINE 3</t>
  </si>
  <si>
    <t>RECEIVER CITY</t>
  </si>
  <si>
    <t>RECEIVER STATE</t>
  </si>
  <si>
    <t>RECEIVER ZIPCODE</t>
  </si>
  <si>
    <t>RECEIVER EMAILID</t>
  </si>
  <si>
    <t>RECEIVER CONTACT</t>
  </si>
  <si>
    <t>RECEIVER TAX</t>
  </si>
  <si>
    <t>ALT ADD FLAG</t>
  </si>
  <si>
    <t>ARTICLE NUMBER</t>
  </si>
  <si>
    <t>SENDER MOBILE</t>
  </si>
  <si>
    <t>RECEIVER MOBILE</t>
  </si>
  <si>
    <t>PREPAYMENT TYPE</t>
  </si>
  <si>
    <t>VALUE OF PREPAYMENT</t>
  </si>
  <si>
    <t>INSURANCE TYPE</t>
  </si>
  <si>
    <t>INSURED VALUE</t>
  </si>
  <si>
    <t>POD FLAG</t>
  </si>
  <si>
    <t>BULK REF</t>
  </si>
  <si>
    <t xml:space="preserve">SERIAL NUMBER REF </t>
  </si>
  <si>
    <t>HS CODE</t>
  </si>
  <si>
    <t>HS DESCRIPTION</t>
  </si>
  <si>
    <t>SP UNIT CD</t>
  </si>
  <si>
    <t>SP WEIGHT TOTAL</t>
  </si>
  <si>
    <t>SP NET WEIGHT</t>
  </si>
  <si>
    <t>SHAPE OF ARTICLE</t>
  </si>
  <si>
    <t>BOOLEAN</t>
  </si>
  <si>
    <t>DELIVERY INSTRUCTION</t>
  </si>
  <si>
    <t>INSTRICTION RTS</t>
  </si>
  <si>
    <t>VPCOD</t>
  </si>
  <si>
    <t>INSURANCE</t>
  </si>
  <si>
    <t>PREPAYMENT</t>
  </si>
  <si>
    <t>PR</t>
  </si>
  <si>
    <t>vp</t>
  </si>
  <si>
    <t>SS</t>
  </si>
  <si>
    <t>ND</t>
  </si>
  <si>
    <t>cod</t>
  </si>
  <si>
    <t>FM</t>
  </si>
  <si>
    <t>DOC</t>
  </si>
  <si>
    <t>A</t>
  </si>
  <si>
    <t>P</t>
  </si>
  <si>
    <t>N</t>
  </si>
  <si>
    <t>Document</t>
  </si>
  <si>
    <t>AMS</t>
  </si>
  <si>
    <t>MAIL NATURE TYPE(Description)</t>
  </si>
  <si>
    <t>Australia</t>
  </si>
  <si>
    <t>China</t>
  </si>
  <si>
    <t>SP item count</t>
  </si>
  <si>
    <t>AF</t>
  </si>
  <si>
    <t>Afghanistan</t>
  </si>
  <si>
    <t>AL</t>
  </si>
  <si>
    <t>Albania</t>
  </si>
  <si>
    <t>DZ</t>
  </si>
  <si>
    <t>Algeria</t>
  </si>
  <si>
    <t>AD</t>
  </si>
  <si>
    <t>Andorra</t>
  </si>
  <si>
    <t>AO</t>
  </si>
  <si>
    <t>Angola</t>
  </si>
  <si>
    <t>AI</t>
  </si>
  <si>
    <t>Anguilla</t>
  </si>
  <si>
    <t>AG</t>
  </si>
  <si>
    <t>Antigua/Barbuda</t>
  </si>
  <si>
    <t>AR</t>
  </si>
  <si>
    <t>Argentina</t>
  </si>
  <si>
    <t>AM</t>
  </si>
  <si>
    <t>Armenia</t>
  </si>
  <si>
    <t>AW</t>
  </si>
  <si>
    <t>Aruba</t>
  </si>
  <si>
    <t>SH1</t>
  </si>
  <si>
    <t>Ascension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</si>
  <si>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</si>
  <si>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</si>
  <si>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</si>
  <si>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</si>
  <si>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</si>
  <si>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</si>
  <si>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</si>
  <si>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</si>
  <si>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</si>
  <si>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</si>
  <si>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</si>
  <si>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</si>
  <si>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</si>
  <si>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</si>
  <si>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</si>
  <si>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</si>
  <si>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</si>
  <si>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</si>
  <si>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</si>
  <si>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</si>
  <si>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</si>
  <si>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</si>
  <si>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</si>
  <si>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</si>
  <si>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</si>
  <si>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</si>
  <si>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BQ</t>
  </si>
  <si>
    <t>BA</t>
  </si>
  <si>
    <t>BW</t>
  </si>
  <si>
    <t>Botswana</t>
  </si>
  <si>
    <t>BR</t>
  </si>
  <si>
    <t>Brazil</t>
  </si>
  <si>
    <t>VG</t>
  </si>
  <si>
    <t>BN</t>
  </si>
  <si>
    <t>BG</t>
  </si>
  <si>
    <t>Bulgaria</t>
  </si>
  <si>
    <t>BF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</si>
  <si>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</si>
  <si>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</si>
  <si>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</si>
  <si>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</si>
  <si>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</si>
  <si>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</si>
  <si>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</si>
  <si>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</si>
  <si>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</si>
  <si>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KY</t>
  </si>
  <si>
    <t>CF</t>
  </si>
  <si>
    <t>TD</t>
  </si>
  <si>
    <t>Chad</t>
  </si>
  <si>
    <t>CL</t>
  </si>
  <si>
    <t>Chile</t>
  </si>
  <si>
    <t>CL1</t>
  </si>
  <si>
    <t>CN</t>
  </si>
  <si>
    <t>CO</t>
  </si>
  <si>
    <t>Colombia</t>
  </si>
  <si>
    <t>KM</t>
  </si>
  <si>
    <t>Comoros</t>
  </si>
  <si>
    <t>CK</t>
  </si>
  <si>
    <t>CR</t>
  </si>
  <si>
    <t>CI</t>
  </si>
  <si>
    <t>HR</t>
  </si>
  <si>
    <t>Croatia</t>
  </si>
  <si>
    <t>CU</t>
  </si>
  <si>
    <t>Cuba</t>
  </si>
  <si>
    <t>CW</t>
  </si>
  <si>
    <t>Curacao</t>
  </si>
  <si>
    <t>CY</t>
  </si>
  <si>
    <t>Cyprus</t>
  </si>
  <si>
    <t>CZ</t>
  </si>
  <si>
    <t>CD</t>
  </si>
  <si>
    <t>DK</t>
  </si>
  <si>
    <t>Denmark</t>
  </si>
  <si>
    <t>DJ</t>
  </si>
  <si>
    <t>Djibouti</t>
  </si>
  <si>
    <t>DM</t>
  </si>
  <si>
    <t>Dominica</t>
  </si>
  <si>
    <t>DO</t>
  </si>
  <si>
    <t>TP</t>
  </si>
  <si>
    <t>EC</t>
  </si>
  <si>
    <t>Ecuador</t>
  </si>
  <si>
    <t>EG</t>
  </si>
  <si>
    <t>Egypt</t>
  </si>
  <si>
    <t>SV</t>
  </si>
  <si>
    <t>GQ</t>
  </si>
  <si>
    <t>ER</t>
  </si>
  <si>
    <t>Eritrea</t>
  </si>
  <si>
    <t>EE</t>
  </si>
  <si>
    <t>Estonia</t>
  </si>
  <si>
    <t>ET</t>
  </si>
  <si>
    <t>Ethiopia</t>
  </si>
  <si>
    <t>FK</t>
  </si>
  <si>
    <t>FO</t>
  </si>
  <si>
    <t>FJ</t>
  </si>
  <si>
    <t>Fiji</t>
  </si>
  <si>
    <t>FI</t>
  </si>
  <si>
    <t>Finland</t>
  </si>
  <si>
    <t>FR</t>
  </si>
  <si>
    <t>France</t>
  </si>
  <si>
    <t>GF</t>
  </si>
  <si>
    <t>PF</t>
  </si>
  <si>
    <t>TF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</si>
  <si>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</si>
  <si>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</si>
  <si>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</si>
  <si>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</si>
  <si>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</si>
  <si>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</si>
  <si>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</si>
  <si>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</si>
  <si>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</si>
  <si>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</si>
  <si>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</si>
  <si>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</si>
  <si>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</si>
  <si>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</si>
  <si>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</si>
  <si>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</si>
  <si>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</si>
  <si>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</si>
  <si>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</si>
  <si>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</si>
  <si>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</si>
  <si>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</si>
  <si>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</si>
  <si>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</si>
  <si>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</si>
  <si>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</si>
  <si>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</si>
  <si>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</si>
  <si>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</si>
  <si>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GY</t>
  </si>
  <si>
    <t>Guyana</t>
  </si>
  <si>
    <t>HT</t>
  </si>
  <si>
    <t>Haiti</t>
  </si>
  <si>
    <t>HN</t>
  </si>
  <si>
    <t>Honduras</t>
  </si>
  <si>
    <t>HK</t>
  </si>
  <si>
    <t>HU</t>
  </si>
  <si>
    <t>Hungary</t>
  </si>
  <si>
    <t>IS</t>
  </si>
  <si>
    <t>Iceland</t>
  </si>
  <si>
    <t>ID</t>
  </si>
  <si>
    <t>Indonesia</t>
  </si>
  <si>
    <t>IR</t>
  </si>
  <si>
    <t>Iran</t>
  </si>
  <si>
    <t>IQ</t>
  </si>
  <si>
    <t>Iraq</t>
  </si>
  <si>
    <t>IE</t>
  </si>
  <si>
    <t>Ireland</t>
  </si>
  <si>
    <t>IM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</si>
  <si>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</si>
  <si>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</si>
  <si>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</si>
  <si>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</si>
  <si>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</si>
  <si>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</si>
  <si>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</si>
  <si>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</si>
  <si>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</si>
  <si>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</si>
  <si>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</si>
  <si>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</si>
  <si>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</si>
  <si>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</si>
  <si>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</si>
  <si>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</si>
  <si>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</si>
  <si>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</si>
  <si>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KV</t>
  </si>
  <si>
    <t>Kosova</t>
  </si>
  <si>
    <t>KW</t>
  </si>
  <si>
    <t>Kuwait</t>
  </si>
  <si>
    <t>KG</t>
  </si>
  <si>
    <t>Kyrgyzstan</t>
  </si>
  <si>
    <t>LA</t>
  </si>
  <si>
    <t>Laos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</si>
  <si>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</si>
  <si>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</si>
  <si>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</si>
  <si>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</si>
  <si>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</si>
  <si>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</si>
  <si>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</si>
  <si>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</si>
  <si>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</si>
  <si>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</si>
  <si>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</si>
  <si>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Lieischenstein</t>
  </si>
  <si>
    <t>LT</t>
  </si>
  <si>
    <t>Lithuania</t>
  </si>
  <si>
    <t>LU</t>
  </si>
  <si>
    <t>Luxembourg</t>
  </si>
  <si>
    <t>MO</t>
  </si>
  <si>
    <t>Macau</t>
  </si>
  <si>
    <t>MK</t>
  </si>
  <si>
    <t>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</si>
  <si>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</si>
  <si>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</si>
  <si>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</si>
  <si>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</si>
  <si>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</si>
  <si>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</si>
  <si>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</si>
  <si>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</si>
  <si>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</si>
  <si>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</si>
  <si>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</si>
  <si>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</si>
  <si>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</si>
  <si>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</si>
  <si>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</si>
  <si>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</si>
  <si>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</si>
  <si>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</si>
  <si>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</si>
  <si>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</si>
  <si>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</si>
  <si>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</si>
  <si>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</si>
  <si>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Micronesia</t>
  </si>
  <si>
    <t>MD</t>
  </si>
  <si>
    <t>Moldova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</si>
  <si>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</si>
  <si>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</si>
  <si>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</si>
  <si>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</si>
  <si>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</si>
  <si>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</si>
  <si>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</si>
  <si>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</si>
  <si>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</si>
  <si>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</si>
  <si>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</si>
  <si>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</si>
  <si>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</si>
  <si>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</si>
  <si>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</si>
  <si>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</si>
  <si>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</si>
  <si>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</si>
  <si>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</si>
  <si>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</si>
  <si>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</si>
  <si>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</si>
  <si>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</si>
  <si>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NZ</t>
  </si>
  <si>
    <t>NI</t>
  </si>
  <si>
    <t>Nicaragua</t>
  </si>
  <si>
    <t>NE</t>
  </si>
  <si>
    <t>Niger</t>
  </si>
  <si>
    <t>NG</t>
  </si>
  <si>
    <t>Nigeria</t>
  </si>
  <si>
    <t>NU</t>
  </si>
  <si>
    <t>Niue</t>
  </si>
  <si>
    <t>KP</t>
  </si>
  <si>
    <t>NO</t>
  </si>
  <si>
    <t>Norway</t>
  </si>
  <si>
    <t>OM</t>
  </si>
  <si>
    <t>Oman</t>
  </si>
  <si>
    <t>PK</t>
  </si>
  <si>
    <t>Pakistan</t>
  </si>
  <si>
    <t>PW</t>
  </si>
  <si>
    <t>Palau</t>
  </si>
  <si>
    <t>Palestine</t>
  </si>
  <si>
    <t>PA</t>
  </si>
  <si>
    <t>Panama</t>
  </si>
  <si>
    <t>PG</t>
  </si>
  <si>
    <t>PY</t>
  </si>
  <si>
    <t>Paraguay</t>
  </si>
  <si>
    <t>PE</t>
  </si>
  <si>
    <t>Peru</t>
  </si>
  <si>
    <t>PH</t>
  </si>
  <si>
    <t>Philippines</t>
  </si>
  <si>
    <t>PN</t>
  </si>
  <si>
    <t>PL</t>
  </si>
  <si>
    <t>Poland</t>
  </si>
  <si>
    <t>PT</t>
  </si>
  <si>
    <t>Portugal</t>
  </si>
  <si>
    <t>QA</t>
  </si>
  <si>
    <t>Qatar</t>
  </si>
  <si>
    <t>CG</t>
  </si>
  <si>
    <t>RE</t>
  </si>
  <si>
    <t>Reunion</t>
  </si>
  <si>
    <t>RO</t>
  </si>
  <si>
    <t>Romania</t>
  </si>
  <si>
    <t>RU</t>
  </si>
  <si>
    <t>RU1</t>
  </si>
  <si>
    <t>RU2</t>
  </si>
  <si>
    <t>RW</t>
  </si>
  <si>
    <t>Rwanda</t>
  </si>
  <si>
    <t>SH</t>
  </si>
  <si>
    <t>PM</t>
  </si>
  <si>
    <t>MP1</t>
  </si>
  <si>
    <t>Saipan</t>
  </si>
  <si>
    <t>WS</t>
  </si>
  <si>
    <t>Samoa</t>
  </si>
  <si>
    <t>AS</t>
  </si>
  <si>
    <t>SM</t>
  </si>
  <si>
    <t>SA</t>
  </si>
  <si>
    <t>SN</t>
  </si>
  <si>
    <t>Senegal</t>
  </si>
  <si>
    <t>RS</t>
  </si>
  <si>
    <t>Serbia</t>
  </si>
  <si>
    <t>CS</t>
  </si>
  <si>
    <t>SC</t>
  </si>
  <si>
    <t>Seychelles</t>
  </si>
  <si>
    <t>SL</t>
  </si>
  <si>
    <t>SG</t>
  </si>
  <si>
    <t>Singapore</t>
  </si>
  <si>
    <t>SX</t>
  </si>
  <si>
    <t>SK</t>
  </si>
  <si>
    <t>Slovakia</t>
  </si>
  <si>
    <t>SI</t>
  </si>
  <si>
    <t>Slovenia</t>
  </si>
  <si>
    <t>SB</t>
  </si>
  <si>
    <t>SO</t>
  </si>
  <si>
    <t>Somalia</t>
  </si>
  <si>
    <t>SO1</t>
  </si>
  <si>
    <t>Somaliland</t>
  </si>
  <si>
    <t>SENDER NAME</t>
  </si>
  <si>
    <t>SENDER COMPANY</t>
  </si>
  <si>
    <t>SENDER STATE/UT</t>
  </si>
  <si>
    <t>'INSTRICTION RTS description</t>
  </si>
  <si>
    <t>Abandoned</t>
  </si>
  <si>
    <t>RTS- Priority</t>
  </si>
  <si>
    <t>RTS-Non Priority</t>
  </si>
  <si>
    <t>DELIVERY INSTRUCTION description</t>
  </si>
  <si>
    <t>Post Restante</t>
  </si>
  <si>
    <t>Normal Deleivery</t>
  </si>
  <si>
    <t>CountryName</t>
  </si>
  <si>
    <t>CountryCodes</t>
  </si>
  <si>
    <t>HELPERCOLUMN</t>
  </si>
  <si>
    <t>INDIA</t>
  </si>
  <si>
    <t>SENDER COUNTRY</t>
  </si>
  <si>
    <t>SENDER'S CUSTOMS REF NO/IOSS</t>
  </si>
  <si>
    <t>SP UNIT CD DESCRIPTION</t>
  </si>
  <si>
    <t>PC</t>
  </si>
  <si>
    <t>CT</t>
  </si>
  <si>
    <t>Piece</t>
  </si>
  <si>
    <t>Grams</t>
  </si>
  <si>
    <t>Kilo Gram</t>
  </si>
  <si>
    <t>Carat</t>
  </si>
  <si>
    <t>Litre</t>
  </si>
  <si>
    <t>SP VALUE TOTAL</t>
  </si>
  <si>
    <t>Gift</t>
  </si>
  <si>
    <t>Others(Transacitons not covered by Part I)</t>
  </si>
  <si>
    <t>Bonaire, Sint Eustatius and Saba</t>
  </si>
  <si>
    <t>Bosnia and Herzegovina</t>
  </si>
  <si>
    <t>British Virgin Islands</t>
  </si>
  <si>
    <t>Brunei Darussalam</t>
  </si>
  <si>
    <t>Burkina Faso</t>
  </si>
  <si>
    <t>Cape Verde</t>
  </si>
  <si>
    <t>Cayman Islands</t>
  </si>
  <si>
    <t>Central African Republic</t>
  </si>
  <si>
    <t>Chile Easter Island</t>
  </si>
  <si>
    <t>Cook Islands</t>
  </si>
  <si>
    <t>Costa Rica</t>
  </si>
  <si>
    <t>Cote d'Ivoire</t>
  </si>
  <si>
    <t>Czech Republic</t>
  </si>
  <si>
    <t>Democratic Republic of Congo</t>
  </si>
  <si>
    <t>Dominican Republic</t>
  </si>
  <si>
    <t>East Timor</t>
  </si>
  <si>
    <t>El Salvador</t>
  </si>
  <si>
    <t>Equatorial Guinea</t>
  </si>
  <si>
    <t>Falkland Islands</t>
  </si>
  <si>
    <t>Faroe Islands</t>
  </si>
  <si>
    <t>French Guiana</t>
  </si>
  <si>
    <t>French Polynesia</t>
  </si>
  <si>
    <t>French S.Territory</t>
  </si>
  <si>
    <t>Guinea Bissau</t>
  </si>
  <si>
    <t>Hong Kong</t>
  </si>
  <si>
    <t>Isle of Man</t>
  </si>
  <si>
    <t>Marshall Islands</t>
  </si>
  <si>
    <t>New Caledonia</t>
  </si>
  <si>
    <t>New Zealand</t>
  </si>
  <si>
    <t>North Korea</t>
  </si>
  <si>
    <t>Papua New Guinea</t>
  </si>
  <si>
    <t>Pitcairn Islands</t>
  </si>
  <si>
    <t>Puerto Rico</t>
  </si>
  <si>
    <t>Republic of Congo</t>
  </si>
  <si>
    <t>Russian Fed</t>
  </si>
  <si>
    <t>Russian (Moscow)</t>
  </si>
  <si>
    <t>Russian (St. Petersberg)</t>
  </si>
  <si>
    <t>Saint Helena</t>
  </si>
  <si>
    <t>Saint Pierre and Miquelon</t>
  </si>
  <si>
    <t>Samoa, America</t>
  </si>
  <si>
    <t>San Marino</t>
  </si>
  <si>
    <t>Saudi Arabia</t>
  </si>
  <si>
    <t>Serbia and Montenegro</t>
  </si>
  <si>
    <t>Sierra Leone</t>
  </si>
  <si>
    <t>Sint Maarten</t>
  </si>
  <si>
    <t>Solomon Islands</t>
  </si>
  <si>
    <t>South Africa</t>
  </si>
  <si>
    <t>South Korea</t>
  </si>
  <si>
    <t>South Sudan</t>
  </si>
  <si>
    <t>Spain</t>
  </si>
  <si>
    <t>Spain(Canary Islands)</t>
  </si>
  <si>
    <t>Sri Lanka</t>
  </si>
  <si>
    <t>St. Barthelemy</t>
  </si>
  <si>
    <t>St Kitts &amp; Nevis</t>
  </si>
  <si>
    <t>St. Lucia</t>
  </si>
  <si>
    <t>S.Tome,Principe</t>
  </si>
  <si>
    <t>St. Vincent &amp; The Grenadines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</si>
  <si>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</si>
  <si>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</si>
  <si>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</si>
  <si>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</si>
  <si>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</si>
  <si>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</si>
  <si>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</si>
  <si>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Tahiti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</si>
  <si>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</si>
  <si>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</si>
  <si>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</si>
  <si>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</si>
  <si>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</si>
  <si>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</si>
  <si>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</si>
  <si>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</si>
  <si>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Tristan da Cunha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</si>
  <si>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</si>
  <si>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</si>
  <si>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</si>
  <si>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</si>
  <si>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</si>
  <si>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</si>
  <si>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</si>
  <si>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</si>
  <si>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</si>
  <si>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</si>
  <si>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</si>
  <si>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U.S. Virgin Islands</t>
  </si>
  <si>
    <t>Uzbekistan</t>
  </si>
  <si>
    <t>Vanuatu</t>
  </si>
  <si>
    <t>Vatican City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</si>
  <si>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</si>
  <si>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</si>
  <si>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</si>
  <si>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</si>
  <si>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</si>
  <si>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</si>
  <si>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</si>
  <si>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ZA</t>
  </si>
  <si>
    <t>KR</t>
  </si>
  <si>
    <t>ES</t>
  </si>
  <si>
    <t>ES1</t>
  </si>
  <si>
    <t>LK</t>
  </si>
  <si>
    <t>BL</t>
  </si>
  <si>
    <t>KN</t>
  </si>
  <si>
    <t>LC</t>
  </si>
  <si>
    <t>ST</t>
  </si>
  <si>
    <t>VC</t>
  </si>
  <si>
    <t>SD</t>
  </si>
  <si>
    <t>SR</t>
  </si>
  <si>
    <t>SJ</t>
  </si>
  <si>
    <t>SZ</t>
  </si>
  <si>
    <t>SE</t>
  </si>
  <si>
    <t>CH</t>
  </si>
  <si>
    <t>SY</t>
  </si>
  <si>
    <t>PF1</t>
  </si>
  <si>
    <t>TW</t>
  </si>
  <si>
    <t>TJ</t>
  </si>
  <si>
    <t>TZ</t>
  </si>
  <si>
    <t>TH</t>
  </si>
  <si>
    <t>TL1</t>
  </si>
  <si>
    <t>TG</t>
  </si>
  <si>
    <t>TO</t>
  </si>
  <si>
    <t>TT</t>
  </si>
  <si>
    <t>SH2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</si>
  <si>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</si>
  <si>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</si>
  <si>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</si>
  <si>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</si>
  <si>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</si>
  <si>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</si>
  <si>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</si>
  <si>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</si>
  <si>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</si>
  <si>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</si>
  <si>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UY</t>
  </si>
  <si>
    <t>VI</t>
  </si>
  <si>
    <t>UZ</t>
  </si>
  <si>
    <t>VU</t>
  </si>
  <si>
    <t>VA</t>
  </si>
  <si>
    <t>VE</t>
  </si>
  <si>
    <t>VN</t>
  </si>
  <si>
    <t>WF</t>
  </si>
  <si>
    <t>EH</t>
  </si>
  <si>
    <t>YE</t>
  </si>
  <si>
    <t>ZM</t>
  </si>
  <si>
    <t>ZW</t>
  </si>
  <si>
    <t>Sale of Goods</t>
  </si>
  <si>
    <t>Commercial Sample</t>
  </si>
  <si>
    <t>PBE TYPE</t>
  </si>
  <si>
    <t>PBE REF</t>
  </si>
  <si>
    <t>PBEI</t>
  </si>
  <si>
    <t>PBEII</t>
  </si>
  <si>
    <t>SP ORIGIN COUNTRY CODE</t>
  </si>
  <si>
    <t>IPC PREFERENCE</t>
  </si>
  <si>
    <t>IPCPREFERENCE</t>
  </si>
  <si>
    <t>DDP</t>
  </si>
  <si>
    <t>DAP</t>
  </si>
  <si>
    <t>HTSUS CODE</t>
  </si>
  <si>
    <t>SPECIAL PROGRAM INDICATOR</t>
  </si>
  <si>
    <t>COUNTRY OF MELT AND POUR</t>
  </si>
  <si>
    <t>PRIMARY COUNTRY OF SMELT</t>
  </si>
  <si>
    <t>SECONDARY COUNTRY OF SMELT</t>
  </si>
  <si>
    <t>COUNTRY OF CAST</t>
  </si>
  <si>
    <t>OTHER CBP INFORMATION</t>
  </si>
  <si>
    <t>CUSTOMS ADDITIONAL DATA</t>
  </si>
  <si>
    <t>PRODUCT CODE</t>
  </si>
  <si>
    <t>PRIOR NOTICE PRODUCT CODE</t>
  </si>
  <si>
    <t>REGISTRATION CODE</t>
  </si>
  <si>
    <t>wooden handicraft</t>
  </si>
  <si>
    <t>pc</t>
  </si>
  <si>
    <t>SURAT</t>
  </si>
  <si>
    <t>GUJARAT</t>
  </si>
  <si>
    <t>solanki vishalbhai arvindbhai</t>
  </si>
  <si>
    <t>shreeja divine products</t>
  </si>
  <si>
    <t>459 riddhi siddhi residency</t>
  </si>
  <si>
    <t>near abc mall</t>
  </si>
  <si>
    <t>canal road kamrej</t>
  </si>
  <si>
    <t>beth walker</t>
  </si>
  <si>
    <t>2148 16th ave s</t>
  </si>
  <si>
    <t>apt B</t>
  </si>
  <si>
    <t>BIRMINGHAM</t>
  </si>
  <si>
    <t>ALABAMA</t>
  </si>
  <si>
    <t>35205-5061</t>
  </si>
  <si>
    <t>LP255987561IN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</si>
</sst>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0" xfId="0" quotePrefix="1" applyFont="1"/>
    <xf numFmtId="0" fontId="3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1" fillId="0" borderId="1" xfId="1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0" xfId="0" applyFont="1"/>
    <xf numFmtId="0" fontId="0" fillId="0" borderId="1" xfId="0" applyFill="1" applyBorder="1"/>
    <xf numFmtId="0" fontId="6" fillId="0" borderId="1" xfId="0" applyFont="1" applyBorder="1"/>
    <xf numFmtId="0" fontId="0" fillId="0" borderId="0" xfId="0" applyNumberFormat="1"/>
    <xf numFmtId="0" fontId="0" fillId="2" borderId="0" xfId="0" applyFill="1"/>
    <xf numFmtId="0" fontId="2" fillId="2" borderId="2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2" borderId="0" xfId="0" applyFill="1" applyProtection="1">
      <protection locked="0"/>
    </xf>
    <xf numFmtId="0" fontId="4" fillId="2" borderId="2" xfId="0" applyFont="1" applyFill="1" applyBorder="1" applyProtection="1"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2" xfId="0" applyFill="1" applyBorder="1" applyProtection="1">
      <protection locked="0"/>
    </xf>
    <xf numFmtId="0" fontId="6" fillId="2" borderId="1" xfId="0" applyFont="1" applyFill="1" applyBorder="1"/>
    <xf numFmtId="0" fontId="0" fillId="3" borderId="0" xfId="0" applyFill="1"/>
    <xf numFmtId="0" fontId="0" fillId="3" borderId="1" xfId="0" applyFill="1" applyBorder="1" applyProtection="1">
      <protection locked="0"/>
    </xf>
    <xf numFmtId="0" fontId="0" fillId="3" borderId="0" xfId="0" applyFill="1" applyProtection="1">
      <protection locked="0"/>
    </xf>
    <xf numFmtId="0" fontId="2" fillId="3" borderId="2" xfId="0" applyFont="1" applyFill="1" applyBorder="1" applyProtection="1">
      <protection locked="0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13"/>
  <sheetViews>
    <sheetView topLeftCell="AI1" workbookViewId="0">
      <selection activeCell="AO7" sqref="AO7"/>
    </sheetView>
  </sheetViews>
  <sheetFormatPr defaultColWidth="8.7109375" defaultRowHeight="15"/>
  <cols>
    <col min="1" max="1" width="14.42578125" style="11" bestFit="1" customWidth="1"/>
    <col min="2" max="2" width="26.28515625" style="11" bestFit="1" customWidth="1"/>
    <col min="3" max="3" width="28.28515625" style="11" customWidth="1"/>
    <col min="4" max="4" width="28.28515625" style="11" hidden="1" customWidth="1"/>
    <col min="5" max="5" width="17" style="22" bestFit="1" customWidth="1"/>
    <col min="6" max="6" width="20.140625" style="22" bestFit="1" customWidth="1"/>
    <col min="7" max="7" width="16.140625" style="11" bestFit="1" customWidth="1"/>
    <col min="8" max="8" width="15.42578125" style="11" bestFit="1" customWidth="1"/>
    <col min="9" max="9" width="15.42578125" style="22" customWidth="1"/>
    <col min="10" max="10" width="26.140625" style="22" bestFit="1" customWidth="1"/>
    <col min="11" max="11" width="13.140625" style="22" bestFit="1" customWidth="1"/>
    <col min="12" max="12" width="16.5703125" style="22" bestFit="1" customWidth="1"/>
    <col min="13" max="15" width="17.28515625" style="22" bestFit="1" customWidth="1"/>
    <col min="16" max="16" width="11.42578125" style="22" bestFit="1" customWidth="1"/>
    <col min="17" max="17" width="13" style="22" bestFit="1" customWidth="1"/>
    <col min="18" max="18" width="21.85546875" style="22" bestFit="1" customWidth="1"/>
    <col min="19" max="19" width="21.42578125" style="22" bestFit="1" customWidth="1"/>
    <col min="20" max="20" width="15.42578125" style="22" bestFit="1" customWidth="1"/>
    <col min="21" max="21" width="18.85546875" style="11" bestFit="1" customWidth="1"/>
    <col min="22" max="22" width="19.42578125" style="11" bestFit="1" customWidth="1"/>
    <col min="23" max="23" width="16.42578125" style="11" customWidth="1"/>
    <col min="24" max="24" width="17.42578125" style="11" customWidth="1"/>
    <col min="25" max="25" width="14.42578125" style="11" bestFit="1" customWidth="1"/>
    <col min="26" max="26" width="23.7109375" style="11" bestFit="1" customWidth="1"/>
    <col min="27" max="29" width="18.5703125" style="11" bestFit="1" customWidth="1"/>
    <col min="30" max="30" width="12.85546875" style="11" bestFit="1" customWidth="1"/>
    <col min="31" max="31" width="14.42578125" style="11" bestFit="1" customWidth="1"/>
    <col min="32" max="32" width="16.42578125" style="11" bestFit="1" customWidth="1"/>
    <col min="33" max="33" width="17.140625" style="11" bestFit="1" customWidth="1"/>
    <col min="34" max="34" width="17.42578125" style="11" bestFit="1" customWidth="1"/>
    <col min="35" max="35" width="12.42578125" style="11" bestFit="1" customWidth="1"/>
    <col min="36" max="36" width="13.5703125" style="11" customWidth="1"/>
    <col min="37" max="37" width="15.5703125" style="29" bestFit="1" customWidth="1"/>
    <col min="38" max="38" width="14.42578125" style="22" bestFit="1" customWidth="1"/>
    <col min="39" max="39" width="15.85546875" style="11" bestFit="1" customWidth="1"/>
    <col min="40" max="40" width="16.5703125" style="11" bestFit="1" customWidth="1"/>
    <col min="41" max="41" width="20.85546875" style="11" bestFit="1" customWidth="1"/>
    <col min="42" max="42" width="15" style="11" bestFit="1" customWidth="1"/>
    <col min="43" max="43" width="14.140625" style="11" bestFit="1" customWidth="1"/>
    <col min="44" max="44" width="9.140625" style="22" bestFit="1" customWidth="1"/>
    <col min="45" max="45" width="8.42578125" style="22" bestFit="1" customWidth="1"/>
    <col min="46" max="46" width="16.5703125" style="11" bestFit="1" customWidth="1"/>
    <col min="47" max="47" width="8.42578125" style="11" bestFit="1" customWidth="1"/>
    <col min="48" max="16384" width="8.7109375" style="11"/>
  </cols>
  <sheetData>
    <row r="1" spans="1:47">
      <c r="A1" s="8" t="s">
        <v>6</v>
      </c>
      <c r="B1" s="8" t="s">
        <v>7</v>
      </c>
      <c r="C1" s="8" t="s">
        <v>8</v>
      </c>
      <c r="D1" s="8" t="s">
        <v>428</v>
      </c>
      <c r="E1" s="20" t="s">
        <v>9</v>
      </c>
      <c r="F1" s="20" t="s">
        <v>10</v>
      </c>
      <c r="G1" s="8" t="s">
        <v>11</v>
      </c>
      <c r="H1" s="9" t="s">
        <v>12</v>
      </c>
      <c r="I1" s="23" t="s">
        <v>595</v>
      </c>
      <c r="J1" s="20" t="s">
        <v>13</v>
      </c>
      <c r="K1" s="20" t="s">
        <v>416</v>
      </c>
      <c r="L1" s="25" t="s">
        <v>417</v>
      </c>
      <c r="M1" s="20" t="s">
        <v>14</v>
      </c>
      <c r="N1" s="20" t="s">
        <v>15</v>
      </c>
      <c r="O1" s="25" t="s">
        <v>16</v>
      </c>
      <c r="P1" s="20" t="s">
        <v>17</v>
      </c>
      <c r="Q1" s="20" t="s">
        <v>418</v>
      </c>
      <c r="R1" s="20" t="s">
        <v>18</v>
      </c>
      <c r="S1" s="20" t="s">
        <v>19</v>
      </c>
      <c r="T1" s="20" t="s">
        <v>20</v>
      </c>
      <c r="U1" s="9" t="s">
        <v>21</v>
      </c>
      <c r="V1" s="10" t="s">
        <v>22</v>
      </c>
      <c r="W1" s="10" t="s">
        <v>23</v>
      </c>
      <c r="X1" s="10" t="s">
        <v>431</v>
      </c>
      <c r="Y1" s="8" t="s">
        <v>24</v>
      </c>
      <c r="Z1" s="10" t="s">
        <v>25</v>
      </c>
      <c r="AA1" s="8" t="s">
        <v>26</v>
      </c>
      <c r="AB1" s="8" t="s">
        <v>27</v>
      </c>
      <c r="AC1" s="10" t="s">
        <v>28</v>
      </c>
      <c r="AD1" s="8" t="s">
        <v>29</v>
      </c>
      <c r="AE1" s="8" t="s">
        <v>30</v>
      </c>
      <c r="AF1" s="10" t="s">
        <v>31</v>
      </c>
      <c r="AG1" s="9" t="s">
        <v>32</v>
      </c>
      <c r="AH1" s="10" t="s">
        <v>33</v>
      </c>
      <c r="AI1" s="10" t="s">
        <v>34</v>
      </c>
      <c r="AJ1" s="8" t="s">
        <v>35</v>
      </c>
      <c r="AK1" s="30" t="s">
        <v>36</v>
      </c>
      <c r="AL1" s="20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20" t="s">
        <v>43</v>
      </c>
      <c r="AS1" s="25" t="s">
        <v>44</v>
      </c>
      <c r="AT1" s="10" t="s">
        <v>590</v>
      </c>
      <c r="AU1" s="10" t="s">
        <v>591</v>
      </c>
    </row>
    <row r="2" spans="1:47" s="12" customFormat="1">
      <c r="A2" s="12">
        <v>1</v>
      </c>
      <c r="B2" s="12" t="str">
        <f>IF(C2="","", VLOOKUP(C2, Information!$N$2:$O$248, 2, FALSE))</f>
        <v>US</v>
      </c>
      <c r="C2" t="s">
        <v>526</v>
      </c>
      <c r="D2" s="12" t="e">
        <f>IF(C2="","",VLOOKUP(C2,Information!$N$2:$O$198,2,FALSE))</f>
        <v>#N/A</v>
      </c>
      <c r="E2" s="21">
        <v>31</v>
      </c>
      <c r="F2" s="21" t="s">
        <v>69</v>
      </c>
      <c r="G2">
        <v>280</v>
      </c>
      <c r="H2">
        <v>1350</v>
      </c>
      <c r="I2" s="24" t="s">
        <v>598</v>
      </c>
      <c r="J2" s="21" t="s">
        <v>66</v>
      </c>
      <c r="K2" s="26" t="s">
        <v>614</v>
      </c>
      <c r="L2" s="21" t="s">
        <v>615</v>
      </c>
      <c r="M2" s="26" t="s">
        <v>616</v>
      </c>
      <c r="N2" s="26" t="s">
        <v>617</v>
      </c>
      <c r="O2" s="26" t="s">
        <v>618</v>
      </c>
      <c r="P2" s="26" t="s">
        <v>612</v>
      </c>
      <c r="Q2" s="26" t="s">
        <v>613</v>
      </c>
      <c r="R2" s="21" t="s">
        <v>429</v>
      </c>
      <c r="S2" s="21" t="s">
        <v>1</v>
      </c>
      <c r="T2" s="26">
        <v>394180</v>
      </c>
      <c r="U2" s="13"/>
      <c r="Y2" t="s">
        <v>619</v>
      </c>
      <c r="AA2" t="s">
        <v>620</v>
      </c>
      <c r="AB2" t="s">
        <v>621</v>
      </c>
      <c r="AC2"/>
      <c r="AD2" t="s">
        <v>622</v>
      </c>
      <c r="AE2" t="s">
        <v>623</v>
      </c>
      <c r="AF2" s="18" t="s">
        <v>624</v>
      </c>
      <c r="AG2" s="13"/>
      <c r="AH2">
        <v>13234964386</v>
      </c>
      <c r="AJ2" s="12" t="b">
        <v>0</v>
      </c>
      <c r="AK2" s="27" t="s">
        <v>625</v>
      </c>
      <c r="AL2" s="26">
        <v>7878447897</v>
      </c>
      <c r="AM2">
        <v>13234964386</v>
      </c>
      <c r="AN2" s="14"/>
      <c r="AR2" s="21" t="b">
        <v>1</v>
      </c>
      <c r="AS2" s="21">
        <v>1234</v>
      </c>
      <c r="AT2" s="14"/>
    </row>
    <row r="3" spans="1:47" s="12" customFormat="1">
      <c r="B3" s="12" t="str">
        <f>IF(C3="","", VLOOKUP(C3, Information!$N$2:$O$248, 2, FALSE))</f>
        <v>DE</v>
      </c>
      <c r="C3" t="s">
        <v>205</v>
      </c>
      <c r="E3" s="21"/>
      <c r="F3" s="21"/>
      <c r="G3"/>
      <c r="H3"/>
      <c r="I3" s="24"/>
      <c r="J3" s="21"/>
      <c r="K3" s="26"/>
      <c r="L3" s="21"/>
      <c r="M3" s="26"/>
      <c r="N3" s="26"/>
      <c r="O3" s="26"/>
      <c r="P3" s="26"/>
      <c r="Q3" s="26"/>
      <c r="R3" s="21"/>
      <c r="S3" s="21"/>
      <c r="T3" s="26"/>
      <c r="U3" s="13"/>
      <c r="Y3"/>
      <c r="AA3"/>
      <c r="AB3"/>
      <c r="AC3"/>
      <c r="AD3"/>
      <c r="AE3"/>
      <c r="AF3" s="18"/>
      <c r="AG3" s="13"/>
      <c r="AH3"/>
      <c r="AK3" s="27"/>
      <c r="AL3" s="26"/>
      <c r="AM3"/>
      <c r="AN3" s="14"/>
      <c r="AR3" s="21"/>
      <c r="AS3" s="21"/>
      <c r="AT3" s="14"/>
    </row>
    <row r="4" spans="1:47" s="12" customFormat="1">
      <c r="B4" s="12" t="str">
        <f>IF(C4="","", VLOOKUP(C4, Information!$N$2:$O$248, 2, FALSE))</f>
        <v/>
      </c>
      <c r="C4"/>
      <c r="E4" s="21"/>
      <c r="F4" s="21"/>
      <c r="G4"/>
      <c r="H4"/>
      <c r="I4" s="24"/>
      <c r="J4" s="21"/>
      <c r="K4" s="26"/>
      <c r="L4" s="21"/>
      <c r="M4" s="26"/>
      <c r="N4" s="26"/>
      <c r="O4" s="26"/>
      <c r="P4" s="26"/>
      <c r="Q4" s="26"/>
      <c r="R4" s="21"/>
      <c r="S4" s="21"/>
      <c r="T4" s="26"/>
      <c r="U4" s="13"/>
      <c r="Y4"/>
      <c r="AA4"/>
      <c r="AB4"/>
      <c r="AC4"/>
      <c r="AD4"/>
      <c r="AE4"/>
      <c r="AF4" s="18"/>
      <c r="AG4" s="13"/>
      <c r="AH4"/>
      <c r="AK4" s="27"/>
      <c r="AL4" s="26"/>
      <c r="AM4"/>
      <c r="AN4" s="14"/>
      <c r="AR4" s="21"/>
      <c r="AS4" s="21"/>
      <c r="AT4" s="14"/>
    </row>
    <row r="5" spans="1:47" s="12" customFormat="1">
      <c r="B5" s="12" t="str">
        <f>IF(C5="","", VLOOKUP(C5, Information!$N$2:$O$248, 2, FALSE))</f>
        <v/>
      </c>
      <c r="C5"/>
      <c r="E5" s="21"/>
      <c r="F5" s="21"/>
      <c r="G5"/>
      <c r="H5"/>
      <c r="I5" s="24"/>
      <c r="J5" s="21"/>
      <c r="K5" s="26"/>
      <c r="L5" s="21"/>
      <c r="M5" s="26"/>
      <c r="N5" s="26"/>
      <c r="O5" s="26"/>
      <c r="P5" s="26"/>
      <c r="Q5" s="26"/>
      <c r="R5" s="21"/>
      <c r="S5" s="21"/>
      <c r="T5" s="26"/>
      <c r="U5" s="13"/>
      <c r="Y5"/>
      <c r="AA5"/>
      <c r="AB5"/>
      <c r="AC5"/>
      <c r="AD5"/>
      <c r="AE5"/>
      <c r="AF5" s="18"/>
      <c r="AG5" s="13"/>
      <c r="AH5"/>
      <c r="AK5" s="27"/>
      <c r="AL5" s="26"/>
      <c r="AM5"/>
      <c r="AN5" s="14"/>
      <c r="AR5" s="21"/>
      <c r="AS5" s="21"/>
      <c r="AT5" s="14"/>
    </row>
    <row r="6" spans="1:47" s="12" customFormat="1">
      <c r="B6" s="12" t="str">
        <f>IF(C6="","", VLOOKUP(C6, Information!$N$2:$O$248, 2, FALSE))</f>
        <v/>
      </c>
      <c r="E6" s="21"/>
      <c r="F6" s="21"/>
      <c r="I6" s="24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13"/>
      <c r="AG6" s="13"/>
      <c r="AK6" s="28"/>
      <c r="AL6" s="21"/>
      <c r="AN6" s="14"/>
      <c r="AR6" s="21"/>
      <c r="AS6" s="21"/>
      <c r="AT6" s="14"/>
    </row>
    <row r="7" spans="1:47" s="12" customFormat="1">
      <c r="B7" s="12" t="str">
        <f>IF(C7="","", VLOOKUP(C7, Information!$N$2:$O$248, 2, FALSE))</f>
        <v/>
      </c>
      <c r="E7" s="21"/>
      <c r="F7" s="21"/>
      <c r="I7" s="24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13"/>
      <c r="AG7" s="13"/>
      <c r="AK7" s="28"/>
      <c r="AL7" s="21"/>
      <c r="AN7" s="14"/>
      <c r="AR7" s="21"/>
      <c r="AS7" s="21"/>
      <c r="AT7" s="14"/>
    </row>
    <row r="8" spans="1:47" s="12" customFormat="1">
      <c r="B8" s="12" t="str">
        <f>IF(C8="","", VLOOKUP(C8, Information!$N$2:$O$248, 2, FALSE))</f>
        <v/>
      </c>
      <c r="E8" s="21"/>
      <c r="F8" s="21"/>
      <c r="I8" s="2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13"/>
      <c r="AG8" s="13"/>
      <c r="AK8" s="28"/>
      <c r="AL8" s="21"/>
      <c r="AN8" s="14"/>
      <c r="AR8" s="21"/>
      <c r="AS8" s="21"/>
      <c r="AT8" s="14"/>
    </row>
    <row r="9" spans="1:47" s="12" customFormat="1">
      <c r="B9" s="12" t="str">
        <f>IF(C9="","", VLOOKUP(C9, Information!$N$2:$O$248, 2, FALSE))</f>
        <v/>
      </c>
      <c r="E9" s="21"/>
      <c r="F9" s="21"/>
      <c r="I9" s="2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13"/>
      <c r="AG9" s="13"/>
      <c r="AK9" s="28"/>
      <c r="AL9" s="21"/>
      <c r="AN9" s="14"/>
      <c r="AR9" s="21"/>
      <c r="AS9" s="21"/>
      <c r="AT9" s="14"/>
    </row>
    <row r="10" spans="1:47" s="12" customFormat="1">
      <c r="B10" s="12" t="str">
        <f>IF(C10="","", VLOOKUP(C10, Information!$N$2:$O$248, 2, FALSE))</f>
        <v/>
      </c>
      <c r="E10" s="21"/>
      <c r="F10" s="21"/>
      <c r="I10" s="24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13"/>
      <c r="AG10" s="13"/>
      <c r="AK10" s="28"/>
      <c r="AL10" s="21"/>
      <c r="AN10" s="14"/>
      <c r="AR10" s="21"/>
      <c r="AS10" s="21"/>
      <c r="AT10" s="14"/>
    </row>
    <row r="11" spans="1:47" s="12" customFormat="1">
      <c r="B11" s="12" t="str">
        <f>IF(C11="","", VLOOKUP(C11, Information!$N$2:$O$248, 2, FALSE))</f>
        <v/>
      </c>
      <c r="E11" s="21"/>
      <c r="F11" s="21"/>
      <c r="I11" s="2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13"/>
      <c r="AG11" s="13"/>
      <c r="AK11" s="28"/>
      <c r="AL11" s="21"/>
      <c r="AN11" s="14"/>
      <c r="AR11" s="21"/>
      <c r="AS11" s="21"/>
      <c r="AT11" s="14"/>
    </row>
    <row r="12" spans="1:47" s="12" customFormat="1">
      <c r="B12" s="12" t="str">
        <f>IF(C12="","", VLOOKUP(C12, Information!$N$2:$O$248, 2, FALSE))</f>
        <v/>
      </c>
      <c r="E12" s="21"/>
      <c r="F12" s="21"/>
      <c r="I12" s="2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13"/>
      <c r="AG12" s="13"/>
      <c r="AK12" s="28"/>
      <c r="AL12" s="21"/>
      <c r="AN12" s="14"/>
      <c r="AR12" s="21"/>
      <c r="AS12" s="21"/>
      <c r="AT12" s="14"/>
    </row>
    <row r="13" spans="1:47" s="12" customFormat="1">
      <c r="B13" s="12" t="str">
        <f>IF(C13="","", VLOOKUP(C13, Information!$N$2:$O$248, 2, FALSE))</f>
        <v/>
      </c>
      <c r="E13" s="21"/>
      <c r="F13" s="21"/>
      <c r="I13" s="2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13"/>
      <c r="AG13" s="13"/>
      <c r="AK13" s="28"/>
      <c r="AL13" s="21"/>
      <c r="AN13" s="14"/>
      <c r="AR13" s="21"/>
      <c r="AS13" s="21"/>
      <c r="AT13" s="14"/>
    </row>
  </sheetData>
  <sheetProtection selectLockedCells="1"/>
  <phoneticPr fontId="5" type="noConversion"/>
  <dataValidations count="3">
    <dataValidation type="list" allowBlank="1" showInputMessage="1" showErrorMessage="1" errorTitle="Invalid Entry" error="Please select a country from the dropdown in Column C. Manual entry is not allowed in this column." sqref="B1:B1048576">
      <formula1>INDIRECT("D"&amp;ROW())</formula1>
    </dataValidation>
    <dataValidation type="list" allowBlank="1" showInputMessage="1" showErrorMessage="1" sqref="C6:C1048576">
      <formula1>CountryName</formula1>
    </dataValidation>
    <dataValidation type="list" allowBlank="1" showErrorMessage="1" sqref="C2:C5">
      <formula1>CountryName</formula1>
    </dataValidation>
  </dataValidations>
  <pageMargins left="0.7" right="0.7" top="0.75" bottom="0.75" header="0.3" footer="0.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142858F0-7A03-4CA4-9369-1CC09B73B8E2}">
          <x14:formula1>
            <xm:f>Information!$B$2:$B$4</xm:f>
          </x14:formula1>
          <xm:sqref>AR2:AR13 AJ2:AJ13</xm:sqref>
        </x14:dataValidation>
        <x14:dataValidation type="list" allowBlank="1" showInputMessage="1" showErrorMessage="1" xr:uid="{615E1C18-10F6-49F1-8163-10DE31666CF0}">
          <x14:formula1>
            <xm:f>Information!$E$2:$E$4</xm:f>
          </x14:formula1>
          <xm:sqref>J2:J13</xm:sqref>
        </x14:dataValidation>
        <x14:dataValidation type="list" allowBlank="1" showInputMessage="1" showErrorMessage="1" xr:uid="{AC006F37-B0D8-4462-AA6F-308ACE8ADC8E}">
          <x14:formula1>
            <xm:f>Information!$L$3:$L$4</xm:f>
          </x14:formula1>
          <xm:sqref>F2:F13</xm:sqref>
        </x14:dataValidation>
        <x14:dataValidation type="list" allowBlank="1" showInputMessage="1" showErrorMessage="1" xr:uid="{7B515756-B8CC-41BF-A26A-B584479C491B}">
          <x14:formula1>
            <xm:f>Information!$P$2</xm:f>
          </x14:formula1>
          <xm:sqref>R1:R1048576</xm:sqref>
        </x14:dataValidation>
        <x14:dataValidation type="list" allowBlank="1" showInputMessage="1" showErrorMessage="1" xr:uid="{C5E4EB45-EC08-4F8E-BD68-2427F0F5E238}">
          <x14:formula1>
            <xm:f>Information!$Q$2</xm:f>
          </x14:formula1>
          <xm:sqref>S1:S1048576</xm:sqref>
        </x14:dataValidation>
        <x14:dataValidation type="list" allowBlank="1" showInputMessage="1" showErrorMessage="1" xr:uid="{6CDCFED7-D27E-4492-813C-0B8EC557D0BD}">
          <x14:formula1>
            <xm:f>Information!$I$2:$I$4</xm:f>
          </x14:formula1>
          <xm:sqref>AN2:AN13</xm:sqref>
        </x14:dataValidation>
        <x14:dataValidation type="list" allowBlank="1" showInputMessage="1" showErrorMessage="1" xr:uid="{C8C52472-DAC2-4D04-89B8-C97A748FDD88}">
          <x14:formula1>
            <xm:f>Information!$T$2:$T$3</xm:f>
          </x14:formula1>
          <xm:sqref>AT2:AT13</xm:sqref>
        </x14:dataValidation>
        <x14:dataValidation type="list" allowBlank="1" showInputMessage="1" showErrorMessage="1" xr:uid="{27A13CCF-F7E9-4FAC-8A5E-2919E6B2932B}">
          <x14:formula1>
            <xm:f>Information!$J$2:$J$6</xm:f>
          </x14:formula1>
          <xm:sqref>E2:E13</xm:sqref>
        </x14:dataValidation>
        <x14:dataValidation type="list" showInputMessage="1" showErrorMessage="1" xr:uid="{A52C59E5-533D-4D38-8442-5851C9C8C8B4}">
          <x14:formula1>
            <xm:f>Information!$U$2:$U$4</xm:f>
          </x14:formula1>
          <xm:sqref>I14:I1048576</xm:sqref>
        </x14:dataValidation>
        <x14:dataValidation type="list" showInputMessage="1" showErrorMessage="1" xr:uid="{BC150633-FB5C-47D0-A7B1-F01F0186FD55}">
          <x14:formula1>
            <xm:f>Information!$U$2:$U$3</xm:f>
          </x14:formula1>
          <xm:sqref>I2:I13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tabSelected="1" topLeftCell="A7" workbookViewId="0">
      <selection activeCell="I8" sqref="I8"/>
    </sheetView>
  </sheetViews>
  <sheetFormatPr defaultRowHeight="15"/>
  <cols>
    <col min="1" max="1" width="18.42578125" bestFit="1" customWidth="1"/>
    <col min="2" max="2" width="9" style="19" bestFit="1" customWidth="1"/>
    <col min="3" max="3" width="16.5703125" style="19" customWidth="1"/>
    <col min="4" max="4" width="12.42578125" style="19" customWidth="1"/>
    <col min="5" max="5" width="13.140625" style="19" customWidth="1"/>
    <col min="6" max="6" width="16" bestFit="1" customWidth="1"/>
    <col min="7" max="7" width="13.85546875" bestFit="1" customWidth="1"/>
    <col min="8" max="8" width="14.42578125" bestFit="1" customWidth="1"/>
    <col min="9" max="9" width="24.5703125" bestFit="1" customWidth="1"/>
    <col min="10" max="10" width="11.85546875" bestFit="1" customWidth="1"/>
    <col min="11" max="11" width="28.42578125" bestFit="1" customWidth="1"/>
    <col min="12" max="12" width="27.7109375" bestFit="1" customWidth="1"/>
    <col min="13" max="13" width="27.28515625" bestFit="1" customWidth="1"/>
    <col min="14" max="14" width="30.140625" bestFit="1" customWidth="1"/>
    <col min="15" max="15" width="17.42578125" bestFit="1" customWidth="1"/>
    <col min="16" max="16" width="24.5703125" bestFit="1" customWidth="1"/>
    <col min="17" max="17" width="26.85546875" bestFit="1" customWidth="1"/>
    <col min="18" max="18" width="14.85546875" bestFit="1" customWidth="1"/>
    <col min="19" max="19" width="28.140625" bestFit="1" customWidth="1"/>
    <col min="20" max="20" width="19.42578125" bestFit="1" customWidth="1"/>
  </cols>
  <sheetData>
    <row r="1" spans="1:20">
      <c r="A1" s="3" t="s">
        <v>45</v>
      </c>
      <c r="B1" s="31" t="s">
        <v>46</v>
      </c>
      <c r="C1" s="31" t="s">
        <v>47</v>
      </c>
      <c r="D1" s="31" t="s">
        <v>48</v>
      </c>
      <c r="E1" s="31" t="s">
        <v>73</v>
      </c>
      <c r="F1" s="1" t="s">
        <v>49</v>
      </c>
      <c r="G1" s="1" t="s">
        <v>50</v>
      </c>
      <c r="H1" s="3" t="s">
        <v>440</v>
      </c>
      <c r="I1" s="3" t="s">
        <v>594</v>
      </c>
      <c r="J1" s="16" t="s">
        <v>599</v>
      </c>
      <c r="K1" s="16" t="s">
        <v>600</v>
      </c>
      <c r="L1" s="1" t="s">
        <v>601</v>
      </c>
      <c r="M1" s="1" t="s">
        <v>602</v>
      </c>
      <c r="N1" s="1" t="s">
        <v>603</v>
      </c>
      <c r="O1" s="1" t="s">
        <v>604</v>
      </c>
      <c r="P1" s="1" t="s">
        <v>605</v>
      </c>
      <c r="Q1" s="1" t="s">
        <v>606</v>
      </c>
      <c r="R1" s="1" t="s">
        <v>607</v>
      </c>
      <c r="S1" s="1" t="s">
        <v>608</v>
      </c>
      <c r="T1" s="1" t="s">
        <v>609</v>
      </c>
    </row>
    <row r="2" spans="1:20">
      <c r="A2" s="17">
        <v>1</v>
      </c>
      <c r="B2" s="26">
        <v>44209090</v>
      </c>
      <c r="C2" s="31" t="s">
        <v>610</v>
      </c>
      <c r="D2" s="31" t="s">
        <v>611</v>
      </c>
      <c r="E2" s="31">
        <v>1</v>
      </c>
      <c r="F2">
        <v>400</v>
      </c>
      <c r="G2">
        <v>280</v>
      </c>
      <c r="H2">
        <v>1350</v>
      </c>
      <c r="I2" s="17" t="s">
        <v>1</v>
      </c>
      <c r="J2" s="26">
        <v>4420190000</v>
      </c>
      <c r="K2" s="1"/>
      <c r="L2" s="1" t="s">
        <v>429</v>
      </c>
      <c r="M2" s="1" t="s">
        <v>429</v>
      </c>
      <c r="N2" s="1" t="s">
        <v>429</v>
      </c>
      <c r="O2" s="1" t="s">
        <v>429</v>
      </c>
      <c r="P2" s="1"/>
      <c r="Q2" s="1"/>
      <c r="R2" s="1"/>
      <c r="S2" s="1"/>
      <c r="T2" s="1"/>
    </row>
    <row r="3" spans="1:20">
      <c r="A3" s="1"/>
      <c r="B3" s="26"/>
      <c r="C3" s="31"/>
      <c r="D3" s="31"/>
      <c r="E3" s="31"/>
      <c r="I3" s="17"/>
      <c r="J3" s="17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7"/>
      <c r="B4" s="26"/>
      <c r="C4" s="31"/>
      <c r="D4" s="31"/>
      <c r="E4" s="31"/>
      <c r="I4" s="17"/>
      <c r="J4" s="17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26"/>
      <c r="C5" s="31"/>
      <c r="D5" s="31"/>
      <c r="E5" s="31"/>
      <c r="I5" s="17"/>
      <c r="J5" s="17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31"/>
      <c r="C6" s="31"/>
      <c r="D6" s="31"/>
      <c r="E6" s="3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31"/>
      <c r="C7" s="31"/>
      <c r="D7" s="31"/>
      <c r="E7" s="3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31"/>
      <c r="C8" s="31"/>
      <c r="D8" s="31"/>
      <c r="E8" s="3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31"/>
      <c r="C9" s="31"/>
      <c r="D9" s="31"/>
      <c r="E9" s="3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31"/>
      <c r="C10" s="31"/>
      <c r="D10" s="31"/>
      <c r="E10" s="3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31"/>
      <c r="C11" s="31"/>
      <c r="D11" s="31"/>
      <c r="E11" s="3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31"/>
      <c r="C12" s="31"/>
      <c r="D12" s="31"/>
      <c r="E12" s="3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31"/>
      <c r="C13" s="31"/>
      <c r="D13" s="31"/>
      <c r="E13" s="3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31"/>
      <c r="C14" s="31"/>
      <c r="D14" s="31"/>
      <c r="E14" s="3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</sheetData>
  <pageMargins left="0.7" right="0.7" top="0.75" bottom="0.75" header="0.3" footer="0.3"/>
  <pageSetup paperSize="9" orientation="portrait" verticalDpi="0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2CF5301C-2F9A-4F9E-B306-E64B97687D14}">
          <x14:formula1>
            <xm:f>Information!$R$2:$R$6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U248"/>
  <sheetViews>
    <sheetView topLeftCell="K1" workbookViewId="0">
      <selection activeCell="T15" sqref="T15"/>
    </sheetView>
  </sheetViews>
  <sheetFormatPr defaultRowHeight="15"/>
  <cols>
    <col min="1" max="1" width="16.140625" bestFit="1" customWidth="1"/>
    <col min="2" max="2" width="8.85546875" bestFit="1" customWidth="1"/>
    <col min="3" max="3" width="20.5703125" bestFit="1" customWidth="1"/>
    <col min="4" max="4" width="30.5703125" bestFit="1" customWidth="1"/>
    <col min="5" max="5" width="15" bestFit="1" customWidth="1"/>
    <col min="6" max="6" width="25.42578125" bestFit="1" customWidth="1"/>
    <col min="7" max="7" width="6.5703125" bestFit="1" customWidth="1"/>
    <col min="8" max="8" width="10.42578125" bestFit="1" customWidth="1"/>
    <col min="9" max="9" width="12.140625" bestFit="1" customWidth="1"/>
    <col min="10" max="10" width="14.42578125" customWidth="1"/>
    <col min="11" max="11" width="36.42578125" bestFit="1" customWidth="1"/>
    <col min="14" max="14" width="24.85546875" customWidth="1"/>
    <col min="15" max="15" width="19.140625" customWidth="1"/>
    <col min="16" max="16" width="16" bestFit="1" customWidth="1"/>
    <col min="17" max="17" width="21.42578125" bestFit="1" customWidth="1"/>
    <col min="18" max="18" width="10.140625" bestFit="1" customWidth="1"/>
    <col min="19" max="19" width="21.85546875" bestFit="1" customWidth="1"/>
  </cols>
  <sheetData>
    <row r="1" spans="1:21" ht="45">
      <c r="A1" s="1" t="s">
        <v>51</v>
      </c>
      <c r="B1" s="4" t="s">
        <v>52</v>
      </c>
      <c r="C1" s="1" t="s">
        <v>53</v>
      </c>
      <c r="D1" s="1" t="s">
        <v>423</v>
      </c>
      <c r="E1" s="5" t="s">
        <v>54</v>
      </c>
      <c r="F1" s="5" t="s">
        <v>419</v>
      </c>
      <c r="G1" s="6" t="s">
        <v>55</v>
      </c>
      <c r="H1" s="6" t="s">
        <v>56</v>
      </c>
      <c r="I1" s="6" t="s">
        <v>57</v>
      </c>
      <c r="J1" s="7" t="s">
        <v>9</v>
      </c>
      <c r="K1" s="3" t="s">
        <v>70</v>
      </c>
      <c r="L1" s="7" t="s">
        <v>10</v>
      </c>
      <c r="N1" t="s">
        <v>426</v>
      </c>
      <c r="O1" t="s">
        <v>427</v>
      </c>
      <c r="P1" s="15" t="s">
        <v>430</v>
      </c>
      <c r="Q1" s="15" t="s">
        <v>19</v>
      </c>
      <c r="R1" t="s">
        <v>48</v>
      </c>
      <c r="S1" t="s">
        <v>432</v>
      </c>
      <c r="T1" t="s">
        <v>590</v>
      </c>
      <c r="U1" s="6" t="s">
        <v>596</v>
      </c>
    </row>
    <row r="2" spans="1:21">
      <c r="A2" s="2" t="s">
        <v>4</v>
      </c>
      <c r="B2" s="1" t="b">
        <v>1</v>
      </c>
      <c r="C2" s="1" t="s">
        <v>58</v>
      </c>
      <c r="D2" s="1" t="s">
        <v>424</v>
      </c>
      <c r="E2" t="s">
        <v>65</v>
      </c>
      <c r="F2" t="s">
        <v>420</v>
      </c>
      <c r="G2" s="6" t="s">
        <v>59</v>
      </c>
      <c r="H2" s="6" t="s">
        <v>2</v>
      </c>
      <c r="I2" t="s">
        <v>3</v>
      </c>
      <c r="J2">
        <v>11</v>
      </c>
      <c r="K2" t="s">
        <v>588</v>
      </c>
      <c r="L2" t="s">
        <v>69</v>
      </c>
      <c r="N2" t="s">
        <v>75</v>
      </c>
      <c r="O2" t="s">
        <v>74</v>
      </c>
      <c r="P2" t="s">
        <v>429</v>
      </c>
      <c r="Q2" t="s">
        <v>1</v>
      </c>
      <c r="R2" t="s">
        <v>433</v>
      </c>
      <c r="S2" t="s">
        <v>435</v>
      </c>
      <c r="T2" t="s">
        <v>592</v>
      </c>
      <c r="U2" t="s">
        <v>597</v>
      </c>
    </row>
    <row r="3" spans="1:21">
      <c r="A3" s="2" t="s">
        <v>5</v>
      </c>
      <c r="B3" s="1" t="b">
        <v>0</v>
      </c>
      <c r="C3" s="1" t="s">
        <v>61</v>
      </c>
      <c r="D3" s="1" t="s">
        <v>425</v>
      </c>
      <c r="E3" t="s">
        <v>66</v>
      </c>
      <c r="F3" t="s">
        <v>421</v>
      </c>
      <c r="G3" s="6" t="s">
        <v>62</v>
      </c>
      <c r="I3" t="s">
        <v>63</v>
      </c>
      <c r="J3">
        <v>31</v>
      </c>
      <c r="K3" t="s">
        <v>441</v>
      </c>
      <c r="N3" t="s">
        <v>77</v>
      </c>
      <c r="O3" t="s">
        <v>76</v>
      </c>
      <c r="R3" t="s">
        <v>200</v>
      </c>
      <c r="S3" t="s">
        <v>436</v>
      </c>
      <c r="T3" t="s">
        <v>593</v>
      </c>
      <c r="U3" t="s">
        <v>598</v>
      </c>
    </row>
    <row r="4" spans="1:21">
      <c r="A4" s="2" t="s">
        <v>64</v>
      </c>
      <c r="B4" s="1"/>
      <c r="C4" s="1"/>
      <c r="E4" t="s">
        <v>67</v>
      </c>
      <c r="F4" t="s">
        <v>422</v>
      </c>
      <c r="I4" t="s">
        <v>60</v>
      </c>
      <c r="J4">
        <v>32</v>
      </c>
      <c r="K4" t="s">
        <v>589</v>
      </c>
      <c r="N4" t="s">
        <v>79</v>
      </c>
      <c r="O4" t="s">
        <v>78</v>
      </c>
      <c r="R4" t="s">
        <v>269</v>
      </c>
      <c r="S4" t="s">
        <v>437</v>
      </c>
    </row>
    <row r="5" spans="1:21">
      <c r="B5" s="1"/>
      <c r="C5" s="1"/>
      <c r="J5">
        <v>91</v>
      </c>
      <c r="K5" t="s">
        <v>68</v>
      </c>
      <c r="N5" t="s">
        <v>81</v>
      </c>
      <c r="O5" t="s">
        <v>80</v>
      </c>
      <c r="R5" t="s">
        <v>434</v>
      </c>
      <c r="S5" t="s">
        <v>438</v>
      </c>
    </row>
    <row r="6" spans="1:21">
      <c r="A6" s="1"/>
      <c r="B6" s="1"/>
      <c r="C6" s="1"/>
      <c r="J6">
        <v>999</v>
      </c>
      <c r="K6" t="s">
        <v>442</v>
      </c>
      <c r="N6" t="s">
        <v>83</v>
      </c>
      <c r="O6" t="s">
        <v>82</v>
      </c>
      <c r="R6" t="s">
        <v>285</v>
      </c>
      <c r="S6" t="s">
        <v>439</v>
      </c>
    </row>
    <row r="7" spans="1:21">
      <c r="A7" s="1"/>
      <c r="B7" s="1"/>
      <c r="C7" s="1"/>
      <c r="N7" t="s">
        <v>85</v>
      </c>
      <c r="O7" t="s">
        <v>84</v>
      </c>
    </row>
    <row r="8" spans="1:21">
      <c r="N8" t="s">
        <v>87</v>
      </c>
      <c r="O8" t="s">
        <v>86</v>
      </c>
    </row>
    <row r="9" spans="1:21">
      <c r="N9" t="s">
        <v>89</v>
      </c>
      <c r="O9" t="s">
        <v>88</v>
      </c>
    </row>
    <row r="10" spans="1:21">
      <c r="N10" t="s">
        <v>91</v>
      </c>
      <c r="O10" t="s">
        <v>90</v>
      </c>
    </row>
    <row r="11" spans="1:21">
      <c r="N11" t="s">
        <v>93</v>
      </c>
      <c r="O11" t="s">
        <v>92</v>
      </c>
    </row>
    <row r="12" spans="1:21">
      <c r="N12" t="s">
        <v>95</v>
      </c>
      <c r="O12" t="s">
        <v>94</v>
      </c>
    </row>
    <row r="13" spans="1:21">
      <c r="N13" t="s">
        <v>71</v>
      </c>
      <c r="O13" t="s">
        <v>0</v>
      </c>
    </row>
    <row r="14" spans="1:21">
      <c r="N14" t="s">
        <v>97</v>
      </c>
      <c r="O14" t="s">
        <v>96</v>
      </c>
    </row>
    <row r="15" spans="1:21">
      <c r="N15" t="s">
        <v>99</v>
      </c>
      <c r="O15" t="s">
        <v>98</v>
      </c>
    </row>
    <row r="16" spans="1:21">
      <c r="N16" t="s">
        <v>101</v>
      </c>
      <c r="O16" t="s">
        <v>100</v>
      </c>
    </row>
    <row r="17" spans="14:15">
      <c r="N17" t="s">
        <v>103</v>
      </c>
      <c r="O17" t="s">
        <v>102</v>
      </c>
    </row>
    <row r="18" spans="14:15">
      <c r="N18" t="s">
        <v>105</v>
      </c>
      <c r="O18" t="s">
        <v>104</v>
      </c>
    </row>
    <row r="19" spans="14:15">
      <c r="N19" t="s">
        <v>107</v>
      </c>
      <c r="O19" t="s">
        <v>106</v>
      </c>
    </row>
    <row r="20" spans="14:15">
      <c r="N20" t="s">
        <v>109</v>
      </c>
      <c r="O20" t="s">
        <v>108</v>
      </c>
    </row>
    <row r="21" spans="14:15">
      <c r="N21" t="s">
        <v>111</v>
      </c>
      <c r="O21" t="s">
        <v>110</v>
      </c>
    </row>
    <row r="22" spans="14:15">
      <c r="N22" t="s">
        <v>113</v>
      </c>
      <c r="O22" t="s">
        <v>112</v>
      </c>
    </row>
    <row r="23" spans="14:15">
      <c r="N23" t="s">
        <v>115</v>
      </c>
      <c r="O23" t="s">
        <v>114</v>
      </c>
    </row>
    <row r="24" spans="14:15">
      <c r="N24" t="s">
        <v>117</v>
      </c>
      <c r="O24" t="s">
        <v>116</v>
      </c>
    </row>
    <row r="25" spans="14:15">
      <c r="N25" t="s">
        <v>119</v>
      </c>
      <c r="O25" t="s">
        <v>118</v>
      </c>
    </row>
    <row r="26" spans="14:15">
      <c r="N26" t="s">
        <v>121</v>
      </c>
      <c r="O26" t="s">
        <v>120</v>
      </c>
    </row>
    <row r="27" spans="14:15">
      <c r="N27" t="s">
        <v>443</v>
      </c>
      <c r="O27" t="s">
        <v>122</v>
      </c>
    </row>
    <row r="28" spans="14:15">
      <c r="N28" t="s">
        <v>444</v>
      </c>
      <c r="O28" t="s">
        <v>123</v>
      </c>
    </row>
    <row r="29" spans="14:15">
      <c r="N29" t="s">
        <v>125</v>
      </c>
      <c r="O29" t="s">
        <v>124</v>
      </c>
    </row>
    <row r="30" spans="14:15">
      <c r="N30" t="s">
        <v>127</v>
      </c>
      <c r="O30" t="s">
        <v>126</v>
      </c>
    </row>
    <row r="31" spans="14:15">
      <c r="N31" t="s">
        <v>445</v>
      </c>
      <c r="O31" t="s">
        <v>128</v>
      </c>
    </row>
    <row r="32" spans="14:15">
      <c r="N32" t="s">
        <v>446</v>
      </c>
      <c r="O32" t="s">
        <v>129</v>
      </c>
    </row>
    <row r="33" spans="14:15">
      <c r="N33" t="s">
        <v>131</v>
      </c>
      <c r="O33" t="s">
        <v>130</v>
      </c>
    </row>
    <row r="34" spans="14:15">
      <c r="N34" t="s">
        <v>447</v>
      </c>
      <c r="O34" t="s">
        <v>132</v>
      </c>
    </row>
    <row r="35" spans="14:15">
      <c r="N35" t="s">
        <v>134</v>
      </c>
      <c r="O35" t="s">
        <v>133</v>
      </c>
    </row>
    <row r="36" spans="14:15">
      <c r="N36" t="s">
        <v>136</v>
      </c>
      <c r="O36" t="s">
        <v>135</v>
      </c>
    </row>
    <row r="37" spans="14:15">
      <c r="N37" t="s">
        <v>138</v>
      </c>
      <c r="O37" t="s">
        <v>137</v>
      </c>
    </row>
    <row r="38" spans="14:15">
      <c r="N38" t="s">
        <v>140</v>
      </c>
      <c r="O38" t="s">
        <v>139</v>
      </c>
    </row>
    <row r="39" spans="14:15">
      <c r="N39" t="s">
        <v>448</v>
      </c>
      <c r="O39" t="s">
        <v>141</v>
      </c>
    </row>
    <row r="40" spans="14:15">
      <c r="N40" t="s">
        <v>449</v>
      </c>
      <c r="O40" t="s">
        <v>142</v>
      </c>
    </row>
    <row r="41" spans="14:15">
      <c r="N41" t="s">
        <v>450</v>
      </c>
      <c r="O41" t="s">
        <v>143</v>
      </c>
    </row>
    <row r="42" spans="14:15">
      <c r="N42" t="s">
        <v>145</v>
      </c>
      <c r="O42" t="s">
        <v>144</v>
      </c>
    </row>
    <row r="43" spans="14:15">
      <c r="N43" t="s">
        <v>147</v>
      </c>
      <c r="O43" t="s">
        <v>146</v>
      </c>
    </row>
    <row r="44" spans="14:15">
      <c r="N44" t="s">
        <v>451</v>
      </c>
      <c r="O44" t="s">
        <v>148</v>
      </c>
    </row>
    <row r="45" spans="14:15">
      <c r="N45" t="s">
        <v>72</v>
      </c>
      <c r="O45" t="s">
        <v>149</v>
      </c>
    </row>
    <row r="46" spans="14:15">
      <c r="N46" t="s">
        <v>151</v>
      </c>
      <c r="O46" t="s">
        <v>150</v>
      </c>
    </row>
    <row r="47" spans="14:15">
      <c r="N47" t="s">
        <v>153</v>
      </c>
      <c r="O47" t="s">
        <v>152</v>
      </c>
    </row>
    <row r="48" spans="14:15">
      <c r="N48" t="s">
        <v>452</v>
      </c>
      <c r="O48" t="s">
        <v>154</v>
      </c>
    </row>
    <row r="49" spans="14:15">
      <c r="N49" t="s">
        <v>453</v>
      </c>
      <c r="O49" t="s">
        <v>155</v>
      </c>
    </row>
    <row r="50" spans="14:15">
      <c r="N50" t="s">
        <v>454</v>
      </c>
      <c r="O50" t="s">
        <v>156</v>
      </c>
    </row>
    <row r="51" spans="14:15">
      <c r="N51" t="s">
        <v>158</v>
      </c>
      <c r="O51" t="s">
        <v>157</v>
      </c>
    </row>
    <row r="52" spans="14:15">
      <c r="N52" t="s">
        <v>160</v>
      </c>
      <c r="O52" t="s">
        <v>159</v>
      </c>
    </row>
    <row r="53" spans="14:15">
      <c r="N53" t="s">
        <v>162</v>
      </c>
      <c r="O53" t="s">
        <v>161</v>
      </c>
    </row>
    <row r="54" spans="14:15">
      <c r="N54" t="s">
        <v>164</v>
      </c>
      <c r="O54" t="s">
        <v>163</v>
      </c>
    </row>
    <row r="55" spans="14:15">
      <c r="N55" t="s">
        <v>455</v>
      </c>
      <c r="O55" t="s">
        <v>165</v>
      </c>
    </row>
    <row r="56" spans="14:15">
      <c r="N56" t="s">
        <v>456</v>
      </c>
      <c r="O56" t="s">
        <v>166</v>
      </c>
    </row>
    <row r="57" spans="14:15">
      <c r="N57" t="s">
        <v>168</v>
      </c>
      <c r="O57" t="s">
        <v>167</v>
      </c>
    </row>
    <row r="58" spans="14:15">
      <c r="N58" t="s">
        <v>170</v>
      </c>
      <c r="O58" t="s">
        <v>169</v>
      </c>
    </row>
    <row r="59" spans="14:15">
      <c r="N59" t="s">
        <v>172</v>
      </c>
      <c r="O59" t="s">
        <v>171</v>
      </c>
    </row>
    <row r="60" spans="14:15">
      <c r="N60" t="s">
        <v>457</v>
      </c>
      <c r="O60" t="s">
        <v>173</v>
      </c>
    </row>
    <row r="61" spans="14:15">
      <c r="N61" t="s">
        <v>458</v>
      </c>
      <c r="O61" t="s">
        <v>174</v>
      </c>
    </row>
    <row r="62" spans="14:15">
      <c r="N62" t="s">
        <v>176</v>
      </c>
      <c r="O62" t="s">
        <v>175</v>
      </c>
    </row>
    <row r="63" spans="14:15">
      <c r="N63" t="s">
        <v>178</v>
      </c>
      <c r="O63" t="s">
        <v>177</v>
      </c>
    </row>
    <row r="64" spans="14:15">
      <c r="N64" t="s">
        <v>459</v>
      </c>
      <c r="O64" t="s">
        <v>179</v>
      </c>
    </row>
    <row r="65" spans="14:15">
      <c r="N65" t="s">
        <v>460</v>
      </c>
      <c r="O65" t="s">
        <v>180</v>
      </c>
    </row>
    <row r="66" spans="14:15">
      <c r="N66" t="s">
        <v>182</v>
      </c>
      <c r="O66" t="s">
        <v>181</v>
      </c>
    </row>
    <row r="67" spans="14:15">
      <c r="N67" t="s">
        <v>184</v>
      </c>
      <c r="O67" t="s">
        <v>183</v>
      </c>
    </row>
    <row r="68" spans="14:15">
      <c r="N68" t="s">
        <v>186</v>
      </c>
      <c r="O68" t="s">
        <v>185</v>
      </c>
    </row>
    <row r="69" spans="14:15">
      <c r="N69" t="s">
        <v>461</v>
      </c>
      <c r="O69" t="s">
        <v>187</v>
      </c>
    </row>
    <row r="70" spans="14:15">
      <c r="N70" t="s">
        <v>462</v>
      </c>
      <c r="O70" t="s">
        <v>188</v>
      </c>
    </row>
    <row r="71" spans="14:15">
      <c r="N71" t="s">
        <v>190</v>
      </c>
      <c r="O71" t="s">
        <v>189</v>
      </c>
    </row>
    <row r="72" spans="14:15">
      <c r="N72" t="s">
        <v>192</v>
      </c>
      <c r="O72" t="s">
        <v>191</v>
      </c>
    </row>
    <row r="73" spans="14:15">
      <c r="N73" t="s">
        <v>194</v>
      </c>
      <c r="O73" t="s">
        <v>193</v>
      </c>
    </row>
    <row r="74" spans="14:15">
      <c r="N74" t="s">
        <v>463</v>
      </c>
      <c r="O74" t="s">
        <v>195</v>
      </c>
    </row>
    <row r="75" spans="14:15">
      <c r="N75" t="s">
        <v>464</v>
      </c>
      <c r="O75" t="s">
        <v>196</v>
      </c>
    </row>
    <row r="76" spans="14:15">
      <c r="N76" t="s">
        <v>465</v>
      </c>
      <c r="O76" t="s">
        <v>197</v>
      </c>
    </row>
    <row r="77" spans="14:15">
      <c r="N77" t="s">
        <v>199</v>
      </c>
      <c r="O77" t="s">
        <v>198</v>
      </c>
    </row>
    <row r="78" spans="14:15">
      <c r="N78" t="s">
        <v>201</v>
      </c>
      <c r="O78" t="s">
        <v>200</v>
      </c>
    </row>
    <row r="79" spans="14:15">
      <c r="N79" t="s">
        <v>203</v>
      </c>
      <c r="O79" t="s">
        <v>202</v>
      </c>
    </row>
    <row r="80" spans="14:15">
      <c r="N80" t="s">
        <v>205</v>
      </c>
      <c r="O80" t="s">
        <v>204</v>
      </c>
    </row>
    <row r="81" spans="14:15">
      <c r="N81" t="s">
        <v>207</v>
      </c>
      <c r="O81" t="s">
        <v>206</v>
      </c>
    </row>
    <row r="82" spans="14:15">
      <c r="N82" t="s">
        <v>209</v>
      </c>
      <c r="O82" t="s">
        <v>208</v>
      </c>
    </row>
    <row r="83" spans="14:15">
      <c r="N83" t="s">
        <v>211</v>
      </c>
      <c r="O83" t="s">
        <v>210</v>
      </c>
    </row>
    <row r="84" spans="14:15">
      <c r="N84" t="s">
        <v>213</v>
      </c>
      <c r="O84" t="s">
        <v>212</v>
      </c>
    </row>
    <row r="85" spans="14:15">
      <c r="N85" t="s">
        <v>215</v>
      </c>
      <c r="O85" t="s">
        <v>214</v>
      </c>
    </row>
    <row r="86" spans="14:15">
      <c r="N86" t="s">
        <v>217</v>
      </c>
      <c r="O86" t="s">
        <v>216</v>
      </c>
    </row>
    <row r="87" spans="14:15">
      <c r="N87" t="s">
        <v>219</v>
      </c>
      <c r="O87" t="s">
        <v>218</v>
      </c>
    </row>
    <row r="88" spans="14:15">
      <c r="N88" t="s">
        <v>221</v>
      </c>
      <c r="O88" t="s">
        <v>220</v>
      </c>
    </row>
    <row r="89" spans="14:15">
      <c r="N89" t="s">
        <v>223</v>
      </c>
      <c r="O89" t="s">
        <v>222</v>
      </c>
    </row>
    <row r="90" spans="14:15">
      <c r="N90" t="s">
        <v>225</v>
      </c>
      <c r="O90" t="s">
        <v>224</v>
      </c>
    </row>
    <row r="91" spans="14:15">
      <c r="N91" t="s">
        <v>466</v>
      </c>
      <c r="O91" t="s">
        <v>226</v>
      </c>
    </row>
    <row r="92" spans="14:15">
      <c r="N92" t="s">
        <v>228</v>
      </c>
      <c r="O92" t="s">
        <v>227</v>
      </c>
    </row>
    <row r="93" spans="14:15">
      <c r="N93" t="s">
        <v>230</v>
      </c>
      <c r="O93" t="s">
        <v>229</v>
      </c>
    </row>
    <row r="94" spans="14:15">
      <c r="N94" t="s">
        <v>232</v>
      </c>
      <c r="O94" t="s">
        <v>231</v>
      </c>
    </row>
    <row r="95" spans="14:15">
      <c r="N95" t="s">
        <v>467</v>
      </c>
      <c r="O95" t="s">
        <v>233</v>
      </c>
    </row>
    <row r="96" spans="14:15">
      <c r="N96" t="s">
        <v>235</v>
      </c>
      <c r="O96" t="s">
        <v>234</v>
      </c>
    </row>
    <row r="97" spans="14:15">
      <c r="N97" t="s">
        <v>237</v>
      </c>
      <c r="O97" t="s">
        <v>236</v>
      </c>
    </row>
    <row r="98" spans="14:15">
      <c r="N98" t="s">
        <v>239</v>
      </c>
      <c r="O98" t="s">
        <v>238</v>
      </c>
    </row>
    <row r="99" spans="14:15">
      <c r="N99" t="s">
        <v>241</v>
      </c>
      <c r="O99" t="s">
        <v>240</v>
      </c>
    </row>
    <row r="100" spans="14:15">
      <c r="N100" t="s">
        <v>243</v>
      </c>
      <c r="O100" t="s">
        <v>242</v>
      </c>
    </row>
    <row r="101" spans="14:15">
      <c r="N101" t="s">
        <v>245</v>
      </c>
      <c r="O101" t="s">
        <v>244</v>
      </c>
    </row>
    <row r="102" spans="14:15">
      <c r="N102" t="s">
        <v>468</v>
      </c>
      <c r="O102" t="s">
        <v>246</v>
      </c>
    </row>
    <row r="103" spans="14:15">
      <c r="N103" t="s">
        <v>248</v>
      </c>
      <c r="O103" t="s">
        <v>247</v>
      </c>
    </row>
    <row r="104" spans="14:15">
      <c r="N104" t="s">
        <v>250</v>
      </c>
      <c r="O104" t="s">
        <v>249</v>
      </c>
    </row>
    <row r="105" spans="14:15">
      <c r="N105" t="s">
        <v>252</v>
      </c>
      <c r="O105" t="s">
        <v>251</v>
      </c>
    </row>
    <row r="106" spans="14:15">
      <c r="N106" t="s">
        <v>254</v>
      </c>
      <c r="O106" t="s">
        <v>253</v>
      </c>
    </row>
    <row r="107" spans="14:15">
      <c r="N107" t="s">
        <v>256</v>
      </c>
      <c r="O107" t="s">
        <v>255</v>
      </c>
    </row>
    <row r="108" spans="14:15">
      <c r="N108" t="s">
        <v>258</v>
      </c>
      <c r="O108" t="s">
        <v>257</v>
      </c>
    </row>
    <row r="109" spans="14:15">
      <c r="N109" t="s">
        <v>260</v>
      </c>
      <c r="O109" t="s">
        <v>259</v>
      </c>
    </row>
    <row r="110" spans="14:15">
      <c r="N110" t="s">
        <v>262</v>
      </c>
      <c r="O110" t="s">
        <v>261</v>
      </c>
    </row>
    <row r="111" spans="14:15">
      <c r="N111" t="s">
        <v>264</v>
      </c>
      <c r="O111" t="s">
        <v>263</v>
      </c>
    </row>
    <row r="112" spans="14:15">
      <c r="N112" t="s">
        <v>266</v>
      </c>
      <c r="O112" t="s">
        <v>265</v>
      </c>
    </row>
    <row r="113" spans="14:15">
      <c r="N113" t="s">
        <v>268</v>
      </c>
      <c r="O113" t="s">
        <v>267</v>
      </c>
    </row>
    <row r="114" spans="14:15">
      <c r="N114" t="s">
        <v>270</v>
      </c>
      <c r="O114" t="s">
        <v>269</v>
      </c>
    </row>
    <row r="115" spans="14:15">
      <c r="N115" t="s">
        <v>272</v>
      </c>
      <c r="O115" t="s">
        <v>271</v>
      </c>
    </row>
    <row r="116" spans="14:15">
      <c r="N116" t="s">
        <v>274</v>
      </c>
      <c r="O116" t="s">
        <v>273</v>
      </c>
    </row>
    <row r="117" spans="14:15">
      <c r="N117" t="s">
        <v>276</v>
      </c>
      <c r="O117" t="s">
        <v>275</v>
      </c>
    </row>
    <row r="118" spans="14:15">
      <c r="N118" t="s">
        <v>278</v>
      </c>
      <c r="O118" t="s">
        <v>277</v>
      </c>
    </row>
    <row r="119" spans="14:15">
      <c r="N119" t="s">
        <v>280</v>
      </c>
      <c r="O119" t="s">
        <v>279</v>
      </c>
    </row>
    <row r="120" spans="14:15">
      <c r="N120" t="s">
        <v>282</v>
      </c>
      <c r="O120" t="s">
        <v>281</v>
      </c>
    </row>
    <row r="121" spans="14:15">
      <c r="N121" t="s">
        <v>284</v>
      </c>
      <c r="O121" t="s">
        <v>283</v>
      </c>
    </row>
    <row r="122" spans="14:15">
      <c r="N122" t="s">
        <v>286</v>
      </c>
      <c r="O122" t="s">
        <v>285</v>
      </c>
    </row>
    <row r="123" spans="14:15">
      <c r="N123" t="s">
        <v>288</v>
      </c>
      <c r="O123" t="s">
        <v>287</v>
      </c>
    </row>
    <row r="124" spans="14:15">
      <c r="N124" t="s">
        <v>290</v>
      </c>
      <c r="O124" t="s">
        <v>289</v>
      </c>
    </row>
    <row r="125" spans="14:15">
      <c r="N125" t="s">
        <v>292</v>
      </c>
      <c r="O125" t="s">
        <v>291</v>
      </c>
    </row>
    <row r="126" spans="14:15">
      <c r="N126" t="s">
        <v>294</v>
      </c>
      <c r="O126" t="s">
        <v>293</v>
      </c>
    </row>
    <row r="127" spans="14:15">
      <c r="N127" t="s">
        <v>296</v>
      </c>
      <c r="O127" t="s">
        <v>295</v>
      </c>
    </row>
    <row r="128" spans="14:15">
      <c r="N128" t="s">
        <v>298</v>
      </c>
      <c r="O128" t="s">
        <v>297</v>
      </c>
    </row>
    <row r="129" spans="14:15">
      <c r="N129" t="s">
        <v>300</v>
      </c>
      <c r="O129" t="s">
        <v>299</v>
      </c>
    </row>
    <row r="130" spans="14:15">
      <c r="N130" t="s">
        <v>302</v>
      </c>
      <c r="O130" t="s">
        <v>301</v>
      </c>
    </row>
    <row r="131" spans="14:15">
      <c r="N131" t="s">
        <v>304</v>
      </c>
      <c r="O131" t="s">
        <v>303</v>
      </c>
    </row>
    <row r="132" spans="14:15">
      <c r="N132" t="s">
        <v>469</v>
      </c>
      <c r="O132" t="s">
        <v>305</v>
      </c>
    </row>
    <row r="133" spans="14:15">
      <c r="N133" t="s">
        <v>307</v>
      </c>
      <c r="O133" t="s">
        <v>306</v>
      </c>
    </row>
    <row r="134" spans="14:15">
      <c r="N134" t="s">
        <v>309</v>
      </c>
      <c r="O134" t="s">
        <v>308</v>
      </c>
    </row>
    <row r="135" spans="14:15">
      <c r="N135" t="s">
        <v>311</v>
      </c>
      <c r="O135" t="s">
        <v>310</v>
      </c>
    </row>
    <row r="136" spans="14:15">
      <c r="N136" t="s">
        <v>313</v>
      </c>
      <c r="O136" t="s">
        <v>312</v>
      </c>
    </row>
    <row r="137" spans="14:15">
      <c r="N137" t="s">
        <v>315</v>
      </c>
      <c r="O137" t="s">
        <v>314</v>
      </c>
    </row>
    <row r="138" spans="14:15">
      <c r="N138" t="s">
        <v>316</v>
      </c>
      <c r="O138" t="s">
        <v>63</v>
      </c>
    </row>
    <row r="139" spans="14:15">
      <c r="N139" t="s">
        <v>318</v>
      </c>
      <c r="O139" t="s">
        <v>317</v>
      </c>
    </row>
    <row r="140" spans="14:15">
      <c r="N140" t="s">
        <v>320</v>
      </c>
      <c r="O140" t="s">
        <v>319</v>
      </c>
    </row>
    <row r="141" spans="14:15">
      <c r="N141" t="s">
        <v>322</v>
      </c>
      <c r="O141" t="s">
        <v>321</v>
      </c>
    </row>
    <row r="142" spans="14:15">
      <c r="N142" t="s">
        <v>324</v>
      </c>
      <c r="O142" t="s">
        <v>323</v>
      </c>
    </row>
    <row r="143" spans="14:15">
      <c r="N143" t="s">
        <v>326</v>
      </c>
      <c r="O143" t="s">
        <v>325</v>
      </c>
    </row>
    <row r="144" spans="14:15">
      <c r="N144" t="s">
        <v>328</v>
      </c>
      <c r="O144" t="s">
        <v>327</v>
      </c>
    </row>
    <row r="145" spans="14:15">
      <c r="N145" t="s">
        <v>330</v>
      </c>
      <c r="O145" t="s">
        <v>329</v>
      </c>
    </row>
    <row r="146" spans="14:15">
      <c r="N146" t="s">
        <v>332</v>
      </c>
      <c r="O146" t="s">
        <v>331</v>
      </c>
    </row>
    <row r="147" spans="14:15">
      <c r="N147" t="s">
        <v>334</v>
      </c>
      <c r="O147" t="s">
        <v>333</v>
      </c>
    </row>
    <row r="148" spans="14:15">
      <c r="N148" t="s">
        <v>336</v>
      </c>
      <c r="O148" t="s">
        <v>335</v>
      </c>
    </row>
    <row r="149" spans="14:15">
      <c r="N149" t="s">
        <v>338</v>
      </c>
      <c r="O149" t="s">
        <v>337</v>
      </c>
    </row>
    <row r="150" spans="14:15">
      <c r="N150" t="s">
        <v>340</v>
      </c>
      <c r="O150" t="s">
        <v>339</v>
      </c>
    </row>
    <row r="151" spans="14:15">
      <c r="N151" t="s">
        <v>470</v>
      </c>
      <c r="O151" t="s">
        <v>341</v>
      </c>
    </row>
    <row r="152" spans="14:15">
      <c r="N152" t="s">
        <v>471</v>
      </c>
      <c r="O152" t="s">
        <v>342</v>
      </c>
    </row>
    <row r="153" spans="14:15">
      <c r="N153" t="s">
        <v>344</v>
      </c>
      <c r="O153" t="s">
        <v>343</v>
      </c>
    </row>
    <row r="154" spans="14:15">
      <c r="N154" t="s">
        <v>346</v>
      </c>
      <c r="O154" t="s">
        <v>345</v>
      </c>
    </row>
    <row r="155" spans="14:15">
      <c r="N155" t="s">
        <v>348</v>
      </c>
      <c r="O155" t="s">
        <v>347</v>
      </c>
    </row>
    <row r="156" spans="14:15">
      <c r="N156" t="s">
        <v>350</v>
      </c>
      <c r="O156" t="s">
        <v>349</v>
      </c>
    </row>
    <row r="157" spans="14:15">
      <c r="N157" t="s">
        <v>472</v>
      </c>
      <c r="O157" t="s">
        <v>351</v>
      </c>
    </row>
    <row r="158" spans="14:15">
      <c r="N158" t="s">
        <v>353</v>
      </c>
      <c r="O158" t="s">
        <v>352</v>
      </c>
    </row>
    <row r="159" spans="14:15">
      <c r="N159" t="s">
        <v>355</v>
      </c>
      <c r="O159" t="s">
        <v>354</v>
      </c>
    </row>
    <row r="160" spans="14:15">
      <c r="N160" t="s">
        <v>357</v>
      </c>
      <c r="O160" t="s">
        <v>356</v>
      </c>
    </row>
    <row r="161" spans="14:15">
      <c r="N161" t="s">
        <v>359</v>
      </c>
      <c r="O161" t="s">
        <v>358</v>
      </c>
    </row>
    <row r="162" spans="14:15">
      <c r="N162" t="s">
        <v>360</v>
      </c>
      <c r="O162" t="s">
        <v>3</v>
      </c>
    </row>
    <row r="163" spans="14:15">
      <c r="N163" t="s">
        <v>362</v>
      </c>
      <c r="O163" t="s">
        <v>361</v>
      </c>
    </row>
    <row r="164" spans="14:15">
      <c r="N164" t="s">
        <v>473</v>
      </c>
      <c r="O164" t="s">
        <v>363</v>
      </c>
    </row>
    <row r="165" spans="14:15">
      <c r="N165" t="s">
        <v>365</v>
      </c>
      <c r="O165" t="s">
        <v>364</v>
      </c>
    </row>
    <row r="166" spans="14:15">
      <c r="N166" t="s">
        <v>367</v>
      </c>
      <c r="O166" t="s">
        <v>366</v>
      </c>
    </row>
    <row r="167" spans="14:15">
      <c r="N167" t="s">
        <v>369</v>
      </c>
      <c r="O167" t="s">
        <v>368</v>
      </c>
    </row>
    <row r="168" spans="14:15">
      <c r="N168" t="s">
        <v>474</v>
      </c>
      <c r="O168" t="s">
        <v>370</v>
      </c>
    </row>
    <row r="169" spans="14:15">
      <c r="N169" t="s">
        <v>372</v>
      </c>
      <c r="O169" t="s">
        <v>371</v>
      </c>
    </row>
    <row r="170" spans="14:15">
      <c r="N170" t="s">
        <v>374</v>
      </c>
      <c r="O170" t="s">
        <v>373</v>
      </c>
    </row>
    <row r="171" spans="14:15">
      <c r="N171" t="s">
        <v>475</v>
      </c>
      <c r="O171" t="s">
        <v>58</v>
      </c>
    </row>
    <row r="172" spans="14:15">
      <c r="N172" t="s">
        <v>376</v>
      </c>
      <c r="O172" t="s">
        <v>375</v>
      </c>
    </row>
    <row r="173" spans="14:15">
      <c r="N173" t="s">
        <v>476</v>
      </c>
      <c r="O173" t="s">
        <v>377</v>
      </c>
    </row>
    <row r="174" spans="14:15">
      <c r="N174" t="s">
        <v>379</v>
      </c>
      <c r="O174" t="s">
        <v>378</v>
      </c>
    </row>
    <row r="175" spans="14:15">
      <c r="N175" t="s">
        <v>381</v>
      </c>
      <c r="O175" t="s">
        <v>380</v>
      </c>
    </row>
    <row r="176" spans="14:15">
      <c r="N176" t="s">
        <v>477</v>
      </c>
      <c r="O176" t="s">
        <v>382</v>
      </c>
    </row>
    <row r="177" spans="14:15">
      <c r="N177" t="s">
        <v>478</v>
      </c>
      <c r="O177" t="s">
        <v>383</v>
      </c>
    </row>
    <row r="178" spans="14:15">
      <c r="N178" t="s">
        <v>479</v>
      </c>
      <c r="O178" t="s">
        <v>384</v>
      </c>
    </row>
    <row r="179" spans="14:15">
      <c r="N179" t="s">
        <v>386</v>
      </c>
      <c r="O179" t="s">
        <v>385</v>
      </c>
    </row>
    <row r="180" spans="14:15">
      <c r="N180" t="s">
        <v>480</v>
      </c>
      <c r="O180" t="s">
        <v>387</v>
      </c>
    </row>
    <row r="181" spans="14:15">
      <c r="N181" t="s">
        <v>481</v>
      </c>
      <c r="O181" t="s">
        <v>388</v>
      </c>
    </row>
    <row r="182" spans="14:15">
      <c r="N182" t="s">
        <v>390</v>
      </c>
      <c r="O182" t="s">
        <v>389</v>
      </c>
    </row>
    <row r="183" spans="14:15">
      <c r="N183" t="s">
        <v>392</v>
      </c>
      <c r="O183" t="s">
        <v>391</v>
      </c>
    </row>
    <row r="184" spans="14:15">
      <c r="N184" t="s">
        <v>482</v>
      </c>
      <c r="O184" t="s">
        <v>393</v>
      </c>
    </row>
    <row r="185" spans="14:15">
      <c r="N185" t="s">
        <v>483</v>
      </c>
      <c r="O185" t="s">
        <v>394</v>
      </c>
    </row>
    <row r="186" spans="14:15">
      <c r="N186" t="s">
        <v>484</v>
      </c>
      <c r="O186" t="s">
        <v>395</v>
      </c>
    </row>
    <row r="187" spans="14:15">
      <c r="N187" t="s">
        <v>397</v>
      </c>
      <c r="O187" t="s">
        <v>396</v>
      </c>
    </row>
    <row r="188" spans="14:15">
      <c r="N188" t="s">
        <v>399</v>
      </c>
      <c r="O188" t="s">
        <v>398</v>
      </c>
    </row>
    <row r="189" spans="14:15">
      <c r="N189" t="s">
        <v>485</v>
      </c>
      <c r="O189" t="s">
        <v>400</v>
      </c>
    </row>
    <row r="190" spans="14:15">
      <c r="N190" t="s">
        <v>402</v>
      </c>
      <c r="O190" t="s">
        <v>401</v>
      </c>
    </row>
    <row r="191" spans="14:15">
      <c r="N191" t="s">
        <v>486</v>
      </c>
      <c r="O191" t="s">
        <v>403</v>
      </c>
    </row>
    <row r="192" spans="14:15">
      <c r="N192" t="s">
        <v>405</v>
      </c>
      <c r="O192" t="s">
        <v>404</v>
      </c>
    </row>
    <row r="193" spans="14:15">
      <c r="N193" t="s">
        <v>487</v>
      </c>
      <c r="O193" t="s">
        <v>406</v>
      </c>
    </row>
    <row r="194" spans="14:15">
      <c r="N194" t="s">
        <v>408</v>
      </c>
      <c r="O194" t="s">
        <v>407</v>
      </c>
    </row>
    <row r="195" spans="14:15">
      <c r="N195" t="s">
        <v>410</v>
      </c>
      <c r="O195" t="s">
        <v>409</v>
      </c>
    </row>
    <row r="196" spans="14:15">
      <c r="N196" t="s">
        <v>488</v>
      </c>
      <c r="O196" t="s">
        <v>411</v>
      </c>
    </row>
    <row r="197" spans="14:15">
      <c r="N197" t="s">
        <v>413</v>
      </c>
      <c r="O197" t="s">
        <v>412</v>
      </c>
    </row>
    <row r="198" spans="14:15">
      <c r="N198" t="s">
        <v>415</v>
      </c>
      <c r="O198" t="s">
        <v>414</v>
      </c>
    </row>
    <row r="199" spans="14:15">
      <c r="N199" t="s">
        <v>489</v>
      </c>
      <c r="O199" t="s">
        <v>539</v>
      </c>
    </row>
    <row r="200" spans="14:15">
      <c r="N200" t="s">
        <v>490</v>
      </c>
      <c r="O200" t="s">
        <v>540</v>
      </c>
    </row>
    <row r="201" spans="14:15">
      <c r="N201" t="s">
        <v>491</v>
      </c>
      <c r="O201" t="s">
        <v>60</v>
      </c>
    </row>
    <row r="202" spans="14:15">
      <c r="N202" t="s">
        <v>492</v>
      </c>
      <c r="O202" t="s">
        <v>541</v>
      </c>
    </row>
    <row r="203" spans="14:15">
      <c r="N203" t="s">
        <v>493</v>
      </c>
      <c r="O203" t="s">
        <v>542</v>
      </c>
    </row>
    <row r="204" spans="14:15">
      <c r="N204" t="s">
        <v>494</v>
      </c>
      <c r="O204" t="s">
        <v>543</v>
      </c>
    </row>
    <row r="205" spans="14:15">
      <c r="N205" t="s">
        <v>495</v>
      </c>
      <c r="O205" t="s">
        <v>544</v>
      </c>
    </row>
    <row r="206" spans="14:15">
      <c r="N206" t="s">
        <v>496</v>
      </c>
      <c r="O206" t="s">
        <v>545</v>
      </c>
    </row>
    <row r="207" spans="14:15">
      <c r="N207" t="s">
        <v>497</v>
      </c>
      <c r="O207" t="s">
        <v>546</v>
      </c>
    </row>
    <row r="208" spans="14:15">
      <c r="N208" t="s">
        <v>498</v>
      </c>
      <c r="O208" t="s">
        <v>547</v>
      </c>
    </row>
    <row r="209" spans="14:15">
      <c r="N209" t="s">
        <v>499</v>
      </c>
      <c r="O209" t="s">
        <v>548</v>
      </c>
    </row>
    <row r="210" spans="14:15">
      <c r="N210" t="s">
        <v>500</v>
      </c>
      <c r="O210" t="s">
        <v>549</v>
      </c>
    </row>
    <row r="211" spans="14:15">
      <c r="N211" t="s">
        <v>501</v>
      </c>
      <c r="O211" t="s">
        <v>550</v>
      </c>
    </row>
    <row r="212" spans="14:15">
      <c r="N212" t="s">
        <v>502</v>
      </c>
      <c r="O212" t="s">
        <v>551</v>
      </c>
    </row>
    <row r="213" spans="14:15">
      <c r="N213" t="s">
        <v>503</v>
      </c>
      <c r="O213" t="s">
        <v>552</v>
      </c>
    </row>
    <row r="214" spans="14:15">
      <c r="N214" t="s">
        <v>504</v>
      </c>
      <c r="O214" t="s">
        <v>553</v>
      </c>
    </row>
    <row r="215" spans="14:15">
      <c r="N215" t="s">
        <v>505</v>
      </c>
      <c r="O215" t="s">
        <v>554</v>
      </c>
    </row>
    <row r="216" spans="14:15">
      <c r="N216" t="s">
        <v>506</v>
      </c>
      <c r="O216" t="s">
        <v>555</v>
      </c>
    </row>
    <row r="217" spans="14:15">
      <c r="N217" t="s">
        <v>507</v>
      </c>
      <c r="O217" t="s">
        <v>556</v>
      </c>
    </row>
    <row r="218" spans="14:15">
      <c r="N218" t="s">
        <v>508</v>
      </c>
      <c r="O218" t="s">
        <v>557</v>
      </c>
    </row>
    <row r="219" spans="14:15">
      <c r="N219" t="s">
        <v>509</v>
      </c>
      <c r="O219" t="s">
        <v>558</v>
      </c>
    </row>
    <row r="220" spans="14:15">
      <c r="N220" t="s">
        <v>510</v>
      </c>
      <c r="O220" t="s">
        <v>559</v>
      </c>
    </row>
    <row r="221" spans="14:15">
      <c r="N221" t="s">
        <v>511</v>
      </c>
      <c r="O221" t="s">
        <v>560</v>
      </c>
    </row>
    <row r="222" spans="14:15">
      <c r="N222" t="s">
        <v>512</v>
      </c>
      <c r="O222" t="s">
        <v>561</v>
      </c>
    </row>
    <row r="223" spans="14:15">
      <c r="N223" t="s">
        <v>513</v>
      </c>
      <c r="O223" t="s">
        <v>562</v>
      </c>
    </row>
    <row r="224" spans="14:15">
      <c r="N224" t="s">
        <v>514</v>
      </c>
      <c r="O224" t="s">
        <v>563</v>
      </c>
    </row>
    <row r="225" spans="14:15">
      <c r="N225" t="s">
        <v>515</v>
      </c>
      <c r="O225" t="s">
        <v>564</v>
      </c>
    </row>
    <row r="226" spans="14:15">
      <c r="N226" t="s">
        <v>516</v>
      </c>
      <c r="O226" t="s">
        <v>565</v>
      </c>
    </row>
    <row r="227" spans="14:15">
      <c r="N227" t="s">
        <v>517</v>
      </c>
      <c r="O227" t="s">
        <v>566</v>
      </c>
    </row>
    <row r="228" spans="14:15">
      <c r="N228" t="s">
        <v>518</v>
      </c>
      <c r="O228" t="s">
        <v>567</v>
      </c>
    </row>
    <row r="229" spans="14:15">
      <c r="N229" t="s">
        <v>519</v>
      </c>
      <c r="O229" t="s">
        <v>568</v>
      </c>
    </row>
    <row r="230" spans="14:15">
      <c r="N230" t="s">
        <v>520</v>
      </c>
      <c r="O230" t="s">
        <v>569</v>
      </c>
    </row>
    <row r="231" spans="14:15">
      <c r="N231" t="s">
        <v>521</v>
      </c>
      <c r="O231" t="s">
        <v>570</v>
      </c>
    </row>
    <row r="232" spans="14:15">
      <c r="N232" t="s">
        <v>522</v>
      </c>
      <c r="O232" t="s">
        <v>571</v>
      </c>
    </row>
    <row r="233" spans="14:15">
      <c r="N233" t="s">
        <v>523</v>
      </c>
      <c r="O233" t="s">
        <v>572</v>
      </c>
    </row>
    <row r="234" spans="14:15">
      <c r="N234" t="s">
        <v>524</v>
      </c>
      <c r="O234" t="s">
        <v>573</v>
      </c>
    </row>
    <row r="235" spans="14:15">
      <c r="N235" t="s">
        <v>525</v>
      </c>
      <c r="O235" t="s">
        <v>574</v>
      </c>
    </row>
    <row r="236" spans="14:15">
      <c r="N236" t="s">
        <v>526</v>
      </c>
      <c r="O236" t="s">
        <v>575</v>
      </c>
    </row>
    <row r="237" spans="14:15">
      <c r="N237" t="s">
        <v>527</v>
      </c>
      <c r="O237" t="s">
        <v>576</v>
      </c>
    </row>
    <row r="238" spans="14:15">
      <c r="N238" t="s">
        <v>528</v>
      </c>
      <c r="O238" t="s">
        <v>577</v>
      </c>
    </row>
    <row r="239" spans="14:15">
      <c r="N239" t="s">
        <v>529</v>
      </c>
      <c r="O239" t="s">
        <v>578</v>
      </c>
    </row>
    <row r="240" spans="14:15">
      <c r="N240" t="s">
        <v>530</v>
      </c>
      <c r="O240" t="s">
        <v>579</v>
      </c>
    </row>
    <row r="241" spans="14:15">
      <c r="N241" t="s">
        <v>531</v>
      </c>
      <c r="O241" t="s">
        <v>580</v>
      </c>
    </row>
    <row r="242" spans="14:15">
      <c r="N242" t="s">
        <v>532</v>
      </c>
      <c r="O242" t="s">
        <v>581</v>
      </c>
    </row>
    <row r="243" spans="14:15">
      <c r="N243" t="s">
        <v>533</v>
      </c>
      <c r="O243" t="s">
        <v>582</v>
      </c>
    </row>
    <row r="244" spans="14:15">
      <c r="N244" t="s">
        <v>534</v>
      </c>
      <c r="O244" t="s">
        <v>583</v>
      </c>
    </row>
    <row r="245" spans="14:15">
      <c r="N245" t="s">
        <v>535</v>
      </c>
      <c r="O245" t="s">
        <v>584</v>
      </c>
    </row>
    <row r="246" spans="14:15">
      <c r="N246" t="s">
        <v>536</v>
      </c>
      <c r="O246" t="s">
        <v>585</v>
      </c>
    </row>
    <row r="247" spans="14:15">
      <c r="N247" t="s">
        <v>537</v>
      </c>
      <c r="O247" t="s">
        <v>586</v>
      </c>
    </row>
    <row r="248" spans="14:15">
      <c r="N248" t="s">
        <v>538</v>
      </c>
      <c r="O248" t="s">
        <v>587</v>
      </c>
    </row>
  </sheetData>
  <dataValidations count="1">
    <dataValidation type="list" showDropDown="1" showInputMessage="1" showErrorMessage="1" sqref="A1:A4">
      <formula1>"ROLL, NROL, DOC, 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ArticleDetails</vt:lpstr>
      <vt:lpstr>SubPieces</vt:lpstr>
      <vt:lpstr>Information</vt:lpstr>
      <vt:lpstr>CountryCodes</vt:lpstr>
      <vt:lpstr>CountryName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Administrator</cp:lastModifiedBy>
  <dcterms:created xsi:type="dcterms:W3CDTF">2024-04-25T07:45:24Z</dcterms:created>
  <dcterms:modified xsi:type="dcterms:W3CDTF">2026-09-05T07:50:53Z</dcterms:modified>
</cp:coreProperties>
</file>